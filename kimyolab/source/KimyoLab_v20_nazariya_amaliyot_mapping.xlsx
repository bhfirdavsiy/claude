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5cd06eabd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zariya-Amaliyot" sheetId="1" r:id="R73325f2e8d1c49d4"/>
    <x:sheet xmlns:r="http://schemas.openxmlformats.org/officeDocument/2006/relationships" name="Amaliyot-Nazariya" sheetId="2" r:id="R099d7022e46c4f1b"/>
    <x:sheet xmlns:r="http://schemas.openxmlformats.org/officeDocument/2006/relationships" name="Qamrov-xulosa" sheetId="3" r:id="Rc942f98519884631"/>
    <x:sheet xmlns:r="http://schemas.openxmlformats.org/officeDocument/2006/relationships" name="Metodika" sheetId="4" r:id="R7456bba900b7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15C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4F7F9"/>
      </x:patternFill>
    </x:fill>
    <x:fill>
      <x:patternFill patternType="solid">
        <x:fgColor rgb="FF1F5A7A"/>
      </x:patternFill>
    </x:fill>
    <x:fill>
      <x:patternFill patternType="solid">
        <x:fgColor rgb="FFDDEBF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fea89117b42c5" /><Relationship Type="http://schemas.openxmlformats.org/officeDocument/2006/relationships/theme" Target="/xl/theme/theme1.xml" Id="Rb288b5bc5f4b4b1d" /><Relationship Type="http://schemas.openxmlformats.org/officeDocument/2006/relationships/sharedStrings" Target="/xl/sharedStrings.xml" Id="Recef7b73f25240fd" /><Relationship Type="http://schemas.openxmlformats.org/officeDocument/2006/relationships/worksheet" Target="/xl/worksheets/sheet1.xml" Id="R73325f2e8d1c49d4" /><Relationship Type="http://schemas.openxmlformats.org/officeDocument/2006/relationships/worksheet" Target="/xl/worksheets/sheet2.xml" Id="R099d7022e46c4f1b" /><Relationship Type="http://schemas.openxmlformats.org/officeDocument/2006/relationships/worksheet" Target="/xl/worksheets/sheet3.xml" Id="Rc942f98519884631" /><Relationship Type="http://schemas.openxmlformats.org/officeDocument/2006/relationships/worksheet" Target="/xl/worksheets/sheet4.xml" Id="R7456bba900b742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c24c3dbcfe4e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Nazariya-amaliyot qamrovi — sinflar kesimida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Nazariya soni</c:v>
          </c:tx>
          <c:cat>
            <c:strRef>
              <c:f>'Qamrov-xulosa'!$A$4:$A$8</c:f>
              <c:strCache>
                <c:ptCount val="0"/>
              </c:strCache>
            </c:strRef>
          </c:cat>
          <c:val>
            <c:numRef>
              <c:f>'Qamrov-xulosa'!$B$4:$B$8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Mavjud</c:v>
          </c:tx>
          <c:cat>
            <c:strRef>
              <c:f>'Qamrov-xulosa'!$A$4:$A$8</c:f>
              <c:strCache>
                <c:ptCount val="0"/>
              </c:strCache>
            </c:strRef>
          </c:cat>
          <c:val>
            <c:numRef>
              <c:f>'Qamrov-xulosa'!$C$4:$C$8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Qisman mavjud</c:v>
          </c:tx>
          <c:cat>
            <c:strRef>
              <c:f>'Qamrov-xulosa'!$A$4:$A$8</c:f>
              <c:strCache>
                <c:ptCount val="0"/>
              </c:strCache>
            </c:strRef>
          </c:cat>
          <c:val>
            <c:numRef>
              <c:f>'Qamrov-xulosa'!$D$4:$D$8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Yangi kerak</c:v>
          </c:tx>
          <c:cat>
            <c:strRef>
              <c:f>'Qamrov-xulosa'!$A$4:$A$8</c:f>
              <c:strCache>
                <c:ptCount val="0"/>
              </c:strCache>
            </c:strRef>
          </c:cat>
          <c:val>
            <c:numRef>
              <c:f>'Qamrov-xulosa'!$E$4:$E$8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c24c3dbcfe4eb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eoryPracticeMap" displayName="TheoryPracticeMap" ref="A4:P126" headerRowCount="1" totalsRowCount="0" totalsRowShown="0">
  <x:tableColumns count="16">
    <x:tableColumn id="1" name="№"/>
    <x:tableColumn id="2" name="Sinf"/>
    <x:tableColumn id="3" name="Nazariya ID"/>
    <x:tableColumn id="4" name="Nazariya mavzusi"/>
    <x:tableColumn id="5" name="Darslik/manba"/>
    <x:tableColumn id="6" name="Asosiy tushunchalar"/>
    <x:tableColumn id="7" name="Katalogdagi vizual format"/>
    <x:tableColumn id="8" name="Katalogdagi interaksiya"/>
    <x:tableColumn id="9" name="Asosiy amaliy turi"/>
    <x:tableColumn id="10" name="Qo‘shimcha amaliy turlar"/>
    <x:tableColumn id="11" name="Mavjud amaliy ID(lar)"/>
    <x:tableColumn id="12" name="Mavjud amaliy nom(lar)"/>
    <x:tableColumn id="13" name="Qamrov holati"/>
    <x:tableColumn id="14" name="Yangi/takomillashtiriladigan amaliyot"/>
    <x:tableColumn id="15" name="Bog‘lanish mantig‘i"/>
    <x:tableColumn id="16" name="Asos fay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acticeTheoryMap" displayName="PracticeTheoryMap" ref="A4:M66" headerRowCount="1" totalsRowCount="0" totalsRowShown="0">
  <x:tableColumns count="13">
    <x:tableColumn id="1" name="№"/>
    <x:tableColumn id="2" name="Sinf"/>
    <x:tableColumn id="3" name="Amaliy ID"/>
    <x:tableColumn id="4" name="Amaliy mashg‘ulot mavzusi"/>
    <x:tableColumn id="5" name="Darslik/manba"/>
    <x:tableColumn id="6" name="Katalogdagi turi"/>
    <x:tableColumn id="7" name="Tavsiya etilgan mapping turi"/>
    <x:tableColumn id="8" name="Bog‘langan nazariya ID(lar)"/>
    <x:tableColumn id="9" name="Bog‘langan nazariya mavzulari"/>
    <x:tableColumn id="10" name="Mapping holati"/>
    <x:tableColumn id="11" name="Amaliy maqsad"/>
    <x:tableColumn id="12" name="Taklif/izoh"/>
    <x:tableColumn id="13" name="Asos fay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95ca14240c4c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1db103e69742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665214d3e9b4b1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2" hidden="0" customWidth="1"/>
    <x:col min="4" max="4" width="34" hidden="0" customWidth="1"/>
    <x:col min="5" max="5" width="24" hidden="0" customWidth="1"/>
    <x:col min="6" max="6" width="32" hidden="0" customWidth="1"/>
    <x:col min="7" max="7" width="28" hidden="0" customWidth="1"/>
    <x:col min="8" max="8" width="34" hidden="0" customWidth="1"/>
    <x:col min="9" max="9" width="18" hidden="0" customWidth="1"/>
    <x:col min="10" max="10" width="24" hidden="0" customWidth="1"/>
    <x:col min="11" max="11" width="20" hidden="0" customWidth="1"/>
    <x:col min="12" max="12" width="42" hidden="0" customWidth="1"/>
    <x:col min="13" max="13" width="18" hidden="0" customWidth="1"/>
    <x:col min="14" max="14" width="42" hidden="0" customWidth="1"/>
    <x:col min="15" max="15" width="48" hidden="0" customWidth="1"/>
    <x:col min="16" max="16" width="18" hidden="0" customWidth="1"/>
  </x:cols>
  <x:sheetData>
    <x:row r="1">
      <x:c r="A1" s="4" t="str">
        <x:v>KimyoLab v20 — 122 ta nazariya → amaliyot mapping matritsasi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0" t="str">
        <x:v>THEORY_CATALOG va LAB_CATALOG asosida tuzildi. “Mavjud” — mos faoliyat mavjud; “Qisman mavjud” — mavjud faoliyatni kengaytirish zarur; “Yangi kerak” — yangi faoliyat ishlab chiqiladi.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4" customHeight="1">
      <x:c r="A4" s="18" t="str">
        <x:v>№</x:v>
      </x:c>
      <x:c r="B4" s="18" t="str">
        <x:v>Sinf</x:v>
      </x:c>
      <x:c r="C4" s="18" t="str">
        <x:v>Nazariya ID</x:v>
      </x:c>
      <x:c r="D4" s="18" t="str">
        <x:v>Nazariya mavzusi</x:v>
      </x:c>
      <x:c r="E4" s="18" t="str">
        <x:v>Darslik/manba</x:v>
      </x:c>
      <x:c r="F4" s="18" t="str">
        <x:v>Asosiy tushunchalar</x:v>
      </x:c>
      <x:c r="G4" s="18" t="str">
        <x:v>Katalogdagi vizual format</x:v>
      </x:c>
      <x:c r="H4" s="18" t="str">
        <x:v>Katalogdagi interaksiya</x:v>
      </x:c>
      <x:c r="I4" s="18" t="str">
        <x:v>Asosiy amaliy turi</x:v>
      </x:c>
      <x:c r="J4" s="18" t="str">
        <x:v>Qo‘shimcha amaliy turlar</x:v>
      </x:c>
      <x:c r="K4" s="18" t="str">
        <x:v>Mavjud amaliy ID(lar)</x:v>
      </x:c>
      <x:c r="L4" s="18" t="str">
        <x:v>Mavjud amaliy nom(lar)</x:v>
      </x:c>
      <x:c r="M4" s="18" t="str">
        <x:v>Qamrov holati</x:v>
      </x:c>
      <x:c r="N4" s="18" t="str">
        <x:v>Yangi/takomillashtiriladigan amaliyot</x:v>
      </x:c>
      <x:c r="O4" s="18" t="str">
        <x:v>Bog‘lanish mantig‘i</x:v>
      </x:c>
      <x:c r="P4" s="18" t="str">
        <x:v>Asos fayl</x:v>
      </x:c>
    </x:row>
    <x:row r="5">
      <x:c r="A5" s="24" t="n">
        <x:v>1</x:v>
      </x:c>
      <x:c r="B5" s="24" t="str">
        <x:v>7-sinf</x:v>
      </x:c>
      <x:c r="C5" s="24" t="str">
        <x:v>7.01</x:v>
      </x:c>
      <x:c r="D5" s="24" t="str">
        <x:v>Kimyo fani va uning vazifalari</x:v>
      </x:c>
      <x:c r="E5" s="24" t="str">
        <x:v>I bob, 1-mavzu</x:v>
      </x:c>
      <x:c r="F5" s="24" t="str">
        <x:v>Kimyo tarixi, fan yo‘nalishlari, modda va materiallar</x:v>
      </x:c>
      <x:c r="G5" s="24" t="str">
        <x:v>Interaktiv vaqt chizig‘i va fan xaritasi</x:v>
      </x:c>
      <x:c r="H5" s="24" t="str">
        <x:v>Davrlar va kimyo tarmoqlarini bosib, misollarni ochish</x:v>
      </x:c>
      <x:c r="I5" s="24" t="str">
        <x:v>Case</x:v>
      </x:c>
      <x:c r="J5" s="24" t="str">
        <x:v>Simulyatsiya</x:v>
      </x:c>
      <x:c r="K5" s="24" t="str">
        <x:v>7.1</x:v>
      </x:c>
      <x:c r="L5" s="24" t="str">
        <x:v>Laboratoriya shtativi, spirt lampa, gaz gorelkalari va elektr isitgich bilan ishlash</x:v>
      </x:c>
      <x:c r="M5" s="24" t="str">
        <x:v>Qisman mavjud</x:v>
      </x:c>
      <x:c r="N5" s="24" t="str">
        <x:v>Kimyoning kundalik hayot va kasblardagi roli bo‘yicha interaktiv case</x:v>
      </x:c>
      <x:c r="O5" s="24" t="str">
        <x:v>Kirish mavzusi tajribadan ko‘ra fan xaritasi va hayotiy vaziyat bilan mustahkamlanadi; 7.1 laboratoriya xavfsizligi/jihozlar bilan tanishtiradi.</x:v>
      </x:c>
      <x:c r="P5" s="24" t="str">
        <x:v>KimyoLab_v19.html</x:v>
      </x:c>
    </x:row>
    <x:row r="6">
      <x:c r="A6" s="24" t="n">
        <x:v>2</x:v>
      </x:c>
      <x:c r="B6" s="24" t="str">
        <x:v>7-sinf</x:v>
      </x:c>
      <x:c r="C6" s="24" t="str">
        <x:v>7.02</x:v>
      </x:c>
      <x:c r="D6" s="24" t="str">
        <x:v>Modda va uning xossalari</x:v>
      </x:c>
      <x:c r="E6" s="24" t="str">
        <x:v>I bob, 2-mavzu</x:v>
      </x:c>
      <x:c r="F6" s="24" t="str">
        <x:v>Modda, zarracha, fizik xossa</x:v>
      </x:c>
      <x:c r="G6" s="24" t="str">
        <x:v>Zarracha modeli va xossalar kartasi</x:v>
      </x:c>
      <x:c r="H6" s="24" t="str">
        <x:v>Moddalarni xossalari bo‘yicha tasniflash</x:v>
      </x:c>
      <x:c r="I6" s="24" t="str">
        <x:v>Simulyatsiya</x:v>
      </x:c>
      <x:c r="J6" s="24" t="str">
        <x:v>Lab; Case</x:v>
      </x:c>
      <x:c r="K6" s="24" t="str">
        <x:v>7.3; 7.12</x:v>
      </x:c>
      <x:c r="L6" s="24" t="str">
        <x:v>Kundalik hayotdagi kimyoviy jarayonlarni kuzatish va tavsiflash; Suvning fizik xossalarini o‘rganish</x:v>
      </x:c>
      <x:c r="M6" s="24" t="str">
        <x:v>Qisman mavjud</x:v>
      </x:c>
      <x:c r="N6" s="24" t="str">
        <x:v>Modda xossalarini tasniflash simulyatori</x:v>
      </x:c>
      <x:c r="O6" s="24" t="str">
        <x:v>Makro xossalarni 7.3 va suvning fizik xossalari 7.12 bilan kuzatish, zarracha modelida izohlash.</x:v>
      </x:c>
      <x:c r="P6" s="24" t="str">
        <x:v>KimyoLab_v19.html</x:v>
      </x:c>
    </x:row>
    <x:row r="7">
      <x:c r="A7" s="24" t="n">
        <x:v>3</x:v>
      </x:c>
      <x:c r="B7" s="24" t="str">
        <x:v>7-sinf</x:v>
      </x:c>
      <x:c r="C7" s="24" t="str">
        <x:v>7.03</x:v>
      </x:c>
      <x:c r="D7" s="24" t="str">
        <x:v>Sof modda va aralashmalar</x:v>
      </x:c>
      <x:c r="E7" s="24" t="str">
        <x:v>I bob, 5-mavzu</x:v>
      </x:c>
      <x:c r="F7" s="24" t="str">
        <x:v>Sof modda, bir jinsli va turli jinsli aralashma</x:v>
      </x:c>
      <x:c r="G7" s="24" t="str">
        <x:v>Tasniflash simulyatori</x:v>
      </x:c>
      <x:c r="H7" s="24" t="str">
        <x:v>Namunalarning qaysi guruhga mansubligini sudrab joylashtirish</x:v>
      </x:c>
      <x:c r="I7" s="24" t="str">
        <x:v>Lab</x:v>
      </x:c>
      <x:c r="J7" s="24" t="str">
        <x:v>Simulyatsiya</x:v>
      </x:c>
      <x:c r="K7" s="24" t="str">
        <x:v>7.2</x:v>
      </x:c>
      <x:c r="L7" s="24" t="str">
        <x:v>Aralashmalar tarkibidan sof moddani ajratish: ifloslangan osh tuzini tozalash</x:v>
      </x:c>
      <x:c r="M7" s="24" t="str">
        <x:v>Mavjud</x:v>
      </x:c>
      <x:c r="N7" s="24" t="str">
        <x:v>Aralashmalarni bir jinsli/turli jinsli tasniflash drag-drop</x:v>
      </x:c>
      <x:c r="O7" s="24" t="str">
        <x:v>7.2 eritish–filtrlash–bug‘latish orqali aralashmadan sof modda ajratishni bevosita namoyish qiladi.</x:v>
      </x:c>
      <x:c r="P7" s="24" t="str">
        <x:v>KimyoLab_v19.html</x:v>
      </x:c>
    </x:row>
    <x:row r="8">
      <x:c r="A8" s="24" t="n">
        <x:v>4</x:v>
      </x:c>
      <x:c r="B8" s="24" t="str">
        <x:v>7-sinf</x:v>
      </x:c>
      <x:c r="C8" s="24" t="str">
        <x:v>7.04</x:v>
      </x:c>
      <x:c r="D8" s="24" t="str">
        <x:v>Moddalarning agregat holatining o‘zgarishi</x:v>
      </x:c>
      <x:c r="E8" s="24" t="str">
        <x:v>I bob, 7-mavzu</x:v>
      </x:c>
      <x:c r="F8" s="24" t="str">
        <x:v>Qattiq, suyuq, gaz; erish, bug‘lanish, kondensatsiya</x:v>
      </x:c>
      <x:c r="G8" s="24" t="str">
        <x:v>Zarrachalar harakati animatsiyasi</x:v>
      </x:c>
      <x:c r="H8" s="24" t="str">
        <x:v>Harorat slayderi bilan agregat holatini o‘zgartirish</x:v>
      </x:c>
      <x:c r="I8" s="24" t="str">
        <x:v>Lab</x:v>
      </x:c>
      <x:c r="J8" s="24" t="str">
        <x:v>Simulyatsiya</x:v>
      </x:c>
      <x:c r="K8" s="24" t="str">
        <x:v>7.6; 7.12</x:v>
      </x:c>
      <x:c r="L8" s="24" t="str">
        <x:v>Suvning agregat holatlari o‘zgarishini kuzatish; Suvning fizik xossalarini o‘rganish</x:v>
      </x:c>
      <x:c r="M8" s="24" t="str">
        <x:v>Mavjud</x:v>
      </x:c>
      <x:c r="N8" s="24" t="str">
        <x:v>Zarracha-harorat holat simulyatori</x:v>
      </x:c>
      <x:c r="O8" s="24" t="str">
        <x:v>7.6 va 7.12 agregat holat va fizik xossalarni makrodarajada ko‘rsatadi, simulyatsiya mikrodarajani beradi.</x:v>
      </x:c>
      <x:c r="P8" s="24" t="str">
        <x:v>KimyoLab_v19.html</x:v>
      </x:c>
    </x:row>
    <x:row r="9">
      <x:c r="A9" s="24" t="n">
        <x:v>5</x:v>
      </x:c>
      <x:c r="B9" s="24" t="str">
        <x:v>7-sinf</x:v>
      </x:c>
      <x:c r="C9" s="24" t="str">
        <x:v>7.05</x:v>
      </x:c>
      <x:c r="D9" s="24" t="str">
        <x:v>Fizik va kimyoviy hodisalar</x:v>
      </x:c>
      <x:c r="E9" s="24" t="str">
        <x:v>I bob, 8-mavzu</x:v>
      </x:c>
      <x:c r="F9" s="24" t="str">
        <x:v>Fizik o‘zgarish, kimyoviy reaksiya, yangi modda</x:v>
      </x:c>
      <x:c r="G9" s="24" t="str">
        <x:v>Taqqoslash animatsiyasi</x:v>
      </x:c>
      <x:c r="H9" s="24" t="str">
        <x:v>Kuzatuv belgilariga qarab hodisani aniqlash</x:v>
      </x:c>
      <x:c r="I9" s="24" t="str">
        <x:v>Lab</x:v>
      </x:c>
      <x:c r="J9" s="24" t="str">
        <x:v>Simulyatsiya; Case</x:v>
      </x:c>
      <x:c r="K9" s="24" t="str">
        <x:v>7.3; 7.6; 7.7</x:v>
      </x:c>
      <x:c r="L9" s="24" t="str">
        <x:v>Kundalik hayotdagi kimyoviy jarayonlarni kuzatish va tavsiflash; Suvning agregat holatlari o‘zgarishini kuzatish; Alanga tuzilishi va moddalarning kislorodda yonishi</x:v>
      </x:c>
      <x:c r="M9" s="24" t="str">
        <x:v>Mavjud</x:v>
      </x:c>
      <x:c r="N9" s="24" t="str">
        <x:v>Fizik/kimyoviy hodisalarni kuzatuv belgisi bo‘yicha ajratish trenajyori</x:v>
      </x:c>
      <x:c r="O9" s="24" t="str">
        <x:v>7.3 kundalik jarayonlar, 7.6 fizik o‘zgarish, 7.7 yonish orqali farqni taqqoslash mumkin.</x:v>
      </x:c>
      <x:c r="P9" s="24" t="str">
        <x:v>KimyoLab_v19.html</x:v>
      </x:c>
    </x:row>
    <x:row r="10">
      <x:c r="A10" s="24" t="n">
        <x:v>6</x:v>
      </x:c>
      <x:c r="B10" s="24" t="str">
        <x:v>7-sinf</x:v>
      </x:c>
      <x:c r="C10" s="24" t="str">
        <x:v>7.06</x:v>
      </x:c>
      <x:c r="D10" s="24" t="str">
        <x:v>Atom</x:v>
      </x:c>
      <x:c r="E10" s="24" t="str">
        <x:v>II bob, 1-mavzu</x:v>
      </x:c>
      <x:c r="F10" s="24" t="str">
        <x:v>Atom tushunchasi, mikroolam</x:v>
      </x:c>
      <x:c r="G10" s="24" t="str">
        <x:v>Masshtab animatsiyasi</x:v>
      </x:c>
      <x:c r="H10" s="24" t="str">
        <x:v>Oddiy jismdan atomgacha kattalashtirib ko‘rish</x:v>
      </x:c>
      <x:c r="I10" s="24" t="str">
        <x:v>Simulyatsiya</x:v>
      </x:c>
      <x:c r="J10" s="24" t="str"/>
      <x:c r="K10" s="24" t="str"/>
      <x:c r="L10" s="24" t="str"/>
      <x:c r="M10" s="24" t="str">
        <x:v>Yangi kerak</x:v>
      </x:c>
      <x:c r="N10" s="24" t="str">
        <x:v>Jism → modda → molekula/atom masshtab simulyatsiyasi</x:v>
      </x:c>
      <x:c r="O10" s="24" t="str">
        <x:v>Atom bevosita laboratoriyada kuzatilmaydi; model asosiy amaliyot bo‘lishi kerak.</x:v>
      </x:c>
      <x:c r="P10" s="24" t="str">
        <x:v>KimyoLab_v19.html</x:v>
      </x:c>
    </x:row>
    <x:row r="11">
      <x:c r="A11" s="24" t="n">
        <x:v>7</x:v>
      </x:c>
      <x:c r="B11" s="24" t="str">
        <x:v>7-sinf</x:v>
      </x:c>
      <x:c r="C11" s="24" t="str">
        <x:v>7.07</x:v>
      </x:c>
      <x:c r="D11" s="24" t="str">
        <x:v>Atom va uning tuzilishi: proton, neytron, elektron</x:v>
      </x:c>
      <x:c r="E11" s="24" t="str">
        <x:v>II bob, 2-mavzu</x:v>
      </x:c>
      <x:c r="F11" s="24" t="str">
        <x:v>Yadro, proton, neytron, elektron, zaryad</x:v>
      </x:c>
      <x:c r="G11" s="24" t="str">
        <x:v>3D atom konstruktori</x:v>
      </x:c>
      <x:c r="H11" s="24" t="str">
        <x:v>Zarrachalarni yadro va qavatlarga joylashtirish</x:v>
      </x:c>
      <x:c r="I11" s="24" t="str">
        <x:v>Simulyatsiya</x:v>
      </x:c>
      <x:c r="J11" s="24" t="str">
        <x:v>Trenajyor</x:v>
      </x:c>
      <x:c r="K11" s="24" t="str"/>
      <x:c r="L11" s="24" t="str"/>
      <x:c r="M11" s="24" t="str">
        <x:v>Yangi kerak</x:v>
      </x:c>
      <x:c r="N11" s="24" t="str">
        <x:v>3D atom konstruktori: p/n/e joylashtirish</x:v>
      </x:c>
      <x:c r="O11" s="24" t="str">
        <x:v>Nazariya katalogida ko‘zda tutilgan konstruktiv faoliyat; laboratoriya shart emas.</x:v>
      </x:c>
      <x:c r="P11" s="24" t="str">
        <x:v>KimyoLab_v19.html</x:v>
      </x:c>
    </x:row>
    <x:row r="12">
      <x:c r="A12" s="24" t="n">
        <x:v>8</x:v>
      </x:c>
      <x:c r="B12" s="24" t="str">
        <x:v>7-sinf</x:v>
      </x:c>
      <x:c r="C12" s="24" t="str">
        <x:v>7.08</x:v>
      </x:c>
      <x:c r="D12" s="24" t="str">
        <x:v>Kimyoviy element va kimyoviy belgi</x:v>
      </x:c>
      <x:c r="E12" s="24" t="str">
        <x:v>II bob, 3-mavzu</x:v>
      </x:c>
      <x:c r="F12" s="24" t="str">
        <x:v>Element nomi, belgisi, tartib raqami</x:v>
      </x:c>
      <x:c r="G12" s="24" t="str">
        <x:v>Element kartalari va mini-jadval</x:v>
      </x:c>
      <x:c r="H12" s="24" t="str">
        <x:v>Belgi-nom moslashtirish o‘yini</x:v>
      </x:c>
      <x:c r="I12" s="24" t="str">
        <x:v>Trenajyor</x:v>
      </x:c>
      <x:c r="J12" s="24" t="str">
        <x:v>Simulyatsiya</x:v>
      </x:c>
      <x:c r="K12" s="24" t="str"/>
      <x:c r="L12" s="24" t="str"/>
      <x:c r="M12" s="24" t="str">
        <x:v>Yangi kerak</x:v>
      </x:c>
      <x:c r="N12" s="24" t="str">
        <x:v>Element nomi–belgisi–Z moslashtirish o‘yini</x:v>
      </x:c>
      <x:c r="O12" s="24" t="str">
        <x:v>Element va belgi bilimini operatsion mashq orqali mustahkamlaydi.</x:v>
      </x:c>
      <x:c r="P12" s="24" t="str">
        <x:v>KimyoLab_v19.html</x:v>
      </x:c>
    </x:row>
    <x:row r="13">
      <x:c r="A13" s="24" t="n">
        <x:v>9</x:v>
      </x:c>
      <x:c r="B13" s="24" t="str">
        <x:v>7-sinf</x:v>
      </x:c>
      <x:c r="C13" s="24" t="str">
        <x:v>7.09</x:v>
      </x:c>
      <x:c r="D13" s="24" t="str">
        <x:v>Kimyoviy elementning nisbiy atom massasi</x:v>
      </x:c>
      <x:c r="E13" s="24" t="str">
        <x:v>II bob, 4-mavzu</x:v>
      </x:c>
      <x:c r="F13" s="24" t="str">
        <x:v>Nisbiy massa, atom massa birligi</x:v>
      </x:c>
      <x:c r="G13" s="24" t="str">
        <x:v>Masshtab va taqqoslash vizuali</x:v>
      </x:c>
      <x:c r="H13" s="24" t="str">
        <x:v>Elementlar massasini taqqoslash</x:v>
      </x:c>
      <x:c r="I13" s="24" t="str">
        <x:v>Hisoblash</x:v>
      </x:c>
      <x:c r="J13" s="24" t="str">
        <x:v>Simulyatsiya</x:v>
      </x:c>
      <x:c r="K13" s="24" t="str"/>
      <x:c r="L13" s="24" t="str"/>
      <x:c r="M13" s="24" t="str">
        <x:v>Yangi kerak</x:v>
      </x:c>
      <x:c r="N13" s="24" t="str">
        <x:v>Nisbiy atom massalarini taqqoslash va oddiy hisoblash trenajyori</x:v>
      </x:c>
      <x:c r="O13" s="24" t="str">
        <x:v>Mavzu sonli taqqoslashga asoslangan.</x:v>
      </x:c>
      <x:c r="P13" s="24" t="str">
        <x:v>KimyoLab_v19.html</x:v>
      </x:c>
    </x:row>
    <x:row r="14">
      <x:c r="A14" s="24" t="n">
        <x:v>10</x:v>
      </x:c>
      <x:c r="B14" s="24" t="str">
        <x:v>7-sinf</x:v>
      </x:c>
      <x:c r="C14" s="24" t="str">
        <x:v>7.10</x:v>
      </x:c>
      <x:c r="D14" s="24" t="str">
        <x:v>Izotoplar, izobarlar, izotonlar</x:v>
      </x:c>
      <x:c r="E14" s="24" t="str">
        <x:v>II bob, 5-mavzu</x:v>
      </x:c>
      <x:c r="F14" s="24" t="str">
        <x:v>Proton va neytron soni, massa soni</x:v>
      </x:c>
      <x:c r="G14" s="24" t="str">
        <x:v>Yadro konstruktori</x:v>
      </x:c>
      <x:c r="H14" s="24" t="str">
        <x:v>Zarrachalar sonini o‘zgartirib turini aniqlash</x:v>
      </x:c>
      <x:c r="I14" s="24" t="str">
        <x:v>Simulyatsiya</x:v>
      </x:c>
      <x:c r="J14" s="24" t="str">
        <x:v>Trenajyor</x:v>
      </x:c>
      <x:c r="K14" s="24" t="str"/>
      <x:c r="L14" s="24" t="str"/>
      <x:c r="M14" s="24" t="str">
        <x:v>Yangi kerak</x:v>
      </x:c>
      <x:c r="N14" s="24" t="str">
        <x:v>Yadro konstruktori: izotop/izobar/izotonni aniqlash</x:v>
      </x:c>
      <x:c r="O14" s="24" t="str">
        <x:v>Proton va neytron sonini o‘zgartirib tushunchalarni farqlash eng tabiiy amaliyot.</x:v>
      </x:c>
      <x:c r="P14" s="24" t="str">
        <x:v>KimyoLab_v19.html</x:v>
      </x:c>
    </x:row>
    <x:row r="15">
      <x:c r="A15" s="24" t="n">
        <x:v>11</x:v>
      </x:c>
      <x:c r="B15" s="24" t="str">
        <x:v>7-sinf</x:v>
      </x:c>
      <x:c r="C15" s="24" t="str">
        <x:v>7.11</x:v>
      </x:c>
      <x:c r="D15" s="24" t="str">
        <x:v>Kimyoviy formula va valentlik</x:v>
      </x:c>
      <x:c r="E15" s="24" t="str">
        <x:v>II bob, 6-mavzu</x:v>
      </x:c>
      <x:c r="F15" s="24" t="str">
        <x:v>Indeks, valentlik, formula</x:v>
      </x:c>
      <x:c r="G15" s="24" t="str">
        <x:v>Formula konstruktori</x:v>
      </x:c>
      <x:c r="H15" s="24" t="str">
        <x:v>Elementlarni tanlab indekslarni avtomatik tekshirish</x:v>
      </x:c>
      <x:c r="I15" s="24" t="str">
        <x:v>Trenajyor</x:v>
      </x:c>
      <x:c r="J15" s="24" t="str"/>
      <x:c r="K15" s="24" t="str">
        <x:v>7.4</x:v>
      </x:c>
      <x:c r="L15" s="24" t="str">
        <x:v>Birikmalardagi elementlarning valentliklarini aniqlash</x:v>
      </x:c>
      <x:c r="M15" s="24" t="str">
        <x:v>Mavjud</x:v>
      </x:c>
      <x:c r="N15" s="24" t="str">
        <x:v>Valentlikdan formula tuzish konstruktori</x:v>
      </x:c>
      <x:c r="O15" s="24" t="str">
        <x:v>7.4 aynan valentlik va formula tuzishga qaratilgan.</x:v>
      </x:c>
      <x:c r="P15" s="24" t="str">
        <x:v>KimyoLab_v19.html</x:v>
      </x:c>
    </x:row>
    <x:row r="16">
      <x:c r="A16" s="24" t="n">
        <x:v>12</x:v>
      </x:c>
      <x:c r="B16" s="24" t="str">
        <x:v>7-sinf</x:v>
      </x:c>
      <x:c r="C16" s="24" t="str">
        <x:v>7.12</x:v>
      </x:c>
      <x:c r="D16" s="24" t="str">
        <x:v>Molekula va nisbiy molekulyar massa</x:v>
      </x:c>
      <x:c r="E16" s="24" t="str">
        <x:v>II bob, 7-mavzu</x:v>
      </x:c>
      <x:c r="F16" s="24" t="str">
        <x:v>Molekula, tarkib, Mr</x:v>
      </x:c>
      <x:c r="G16" s="24" t="str">
        <x:v>2D/3D molekula modeli</x:v>
      </x:c>
      <x:c r="H16" s="24" t="str">
        <x:v>Formula asosida molekula yig‘ish va Mr hisoblash</x:v>
      </x:c>
      <x:c r="I16" s="24" t="str">
        <x:v>Hisoblash</x:v>
      </x:c>
      <x:c r="J16" s="24" t="str">
        <x:v>Simulyatsiya; Trenajyor</x:v>
      </x:c>
      <x:c r="K16" s="24" t="str">
        <x:v>7.5</x:v>
      </x:c>
      <x:c r="L16" s="24" t="str">
        <x:v>Kimyoviy formulalar asosida hisoblashga oid masalalar</x:v>
      </x:c>
      <x:c r="M16" s="24" t="str">
        <x:v>Mavjud</x:v>
      </x:c>
      <x:c r="N16" s="24" t="str">
        <x:v>Molekula yig‘ish + Mr hisoblash</x:v>
      </x:c>
      <x:c r="O16" s="24" t="str">
        <x:v>7.5 formula asosidagi hisoblashlar bilan bevosita bog‘liq.</x:v>
      </x:c>
      <x:c r="P16" s="24" t="str">
        <x:v>KimyoLab_v19.html</x:v>
      </x:c>
    </x:row>
    <x:row r="17">
      <x:c r="A17" s="24" t="n">
        <x:v>13</x:v>
      </x:c>
      <x:c r="B17" s="24" t="str">
        <x:v>7-sinf</x:v>
      </x:c>
      <x:c r="C17" s="24" t="str">
        <x:v>7.13</x:v>
      </x:c>
      <x:c r="D17" s="24" t="str">
        <x:v>Oddiy va murakkab moddalar</x:v>
      </x:c>
      <x:c r="E17" s="24" t="str">
        <x:v>II bob, 8-mavzu</x:v>
      </x:c>
      <x:c r="F17" s="24" t="str">
        <x:v>Bir elementli va ko‘p elementli modda</x:v>
      </x:c>
      <x:c r="G17" s="24" t="str">
        <x:v>Molekula galereyasi</x:v>
      </x:c>
      <x:c r="H17" s="24" t="str">
        <x:v>Molekula modelini oddiy yoki murakkab deb ajratish</x:v>
      </x:c>
      <x:c r="I17" s="24" t="str">
        <x:v>Simulyatsiya</x:v>
      </x:c>
      <x:c r="J17" s="24" t="str">
        <x:v>Trenajyor</x:v>
      </x:c>
      <x:c r="K17" s="24" t="str">
        <x:v>7.3</x:v>
      </x:c>
      <x:c r="L17" s="24" t="str">
        <x:v>Kundalik hayotdagi kimyoviy jarayonlarni kuzatish va tavsiflash</x:v>
      </x:c>
      <x:c r="M17" s="24" t="str">
        <x:v>Qisman mavjud</x:v>
      </x:c>
      <x:c r="N17" s="24" t="str">
        <x:v>Molekulalarni oddiy/murakkab modda sifatida tasniflash</x:v>
      </x:c>
      <x:c r="O17" s="24" t="str">
        <x:v>7.3 dagi moddalarni kuzatish qo‘llab-quvvatlaydi, asosiy faoliyat tasniflash bo‘lishi kerak.</x:v>
      </x:c>
      <x:c r="P17" s="24" t="str">
        <x:v>KimyoLab_v19.html</x:v>
      </x:c>
    </x:row>
    <x:row r="18">
      <x:c r="A18" s="24" t="n">
        <x:v>14</x:v>
      </x:c>
      <x:c r="B18" s="24" t="str">
        <x:v>7-sinf</x:v>
      </x:c>
      <x:c r="C18" s="24" t="str">
        <x:v>7.14</x:v>
      </x:c>
      <x:c r="D18" s="24" t="str">
        <x:v>Modda miqdori, Avogadro doimiysi va molyar massa</x:v>
      </x:c>
      <x:c r="E18" s="24" t="str">
        <x:v>II bob, 9-mavzu</x:v>
      </x:c>
      <x:c r="F18" s="24" t="str">
        <x:v>Mol, NA, molyar massa</x:v>
      </x:c>
      <x:c r="G18" s="24" t="str">
        <x:v>Interaktiv masshtab va kalkulyator</x:v>
      </x:c>
      <x:c r="H18" s="24" t="str">
        <x:v>Zarracha soni, mol va massani bog‘lash</x:v>
      </x:c>
      <x:c r="I18" s="24" t="str">
        <x:v>Hisoblash</x:v>
      </x:c>
      <x:c r="J18" s="24" t="str">
        <x:v>Simulyatsiya</x:v>
      </x:c>
      <x:c r="K18" s="24" t="str">
        <x:v>7.5</x:v>
      </x:c>
      <x:c r="L18" s="24" t="str">
        <x:v>Kimyoviy formulalar asosida hisoblashga oid masalalar</x:v>
      </x:c>
      <x:c r="M18" s="24" t="str">
        <x:v>Mavjud</x:v>
      </x:c>
      <x:c r="N18" s="24" t="str">
        <x:v>Massa–mol–zarracha interaktiv kalkulyatori</x:v>
      </x:c>
      <x:c r="O18" s="24" t="str">
        <x:v>7.5 hisoblash topshiriqlari bilan bevosita mos.</x:v>
      </x:c>
      <x:c r="P18" s="24" t="str">
        <x:v>KimyoLab_v19.html</x:v>
      </x:c>
    </x:row>
    <x:row r="19">
      <x:c r="A19" s="24" t="n">
        <x:v>15</x:v>
      </x:c>
      <x:c r="B19" s="24" t="str">
        <x:v>7-sinf</x:v>
      </x:c>
      <x:c r="C19" s="24" t="str">
        <x:v>7.15</x:v>
      </x:c>
      <x:c r="D19" s="24" t="str">
        <x:v>Kimyoviy reaksiya tenglamalarini tuzish</x:v>
      </x:c>
      <x:c r="E19" s="24" t="str">
        <x:v>II bob, 12-mavzu</x:v>
      </x:c>
      <x:c r="F19" s="24" t="str">
        <x:v>Reagent, mahsulot, koeffitsiyent</x:v>
      </x:c>
      <x:c r="G19" s="24" t="str">
        <x:v>Balanslash trenajyori</x:v>
      </x:c>
      <x:c r="H19" s="24" t="str">
        <x:v>Atomlar sanog‘i paneli bilan koeffitsiyent tanlash</x:v>
      </x:c>
      <x:c r="I19" s="24" t="str">
        <x:v>Trenajyor</x:v>
      </x:c>
      <x:c r="J19" s="24" t="str">
        <x:v>Lab</x:v>
      </x:c>
      <x:c r="K19" s="24" t="str">
        <x:v>7.7; 7.8; 7.9; 7.10; 7.11</x:v>
      </x:c>
      <x:c r="L19" s="24" t="str">
        <x:v>Alanga tuzilishi va moddalarning kislorodda yonishi; Vodorodning olinishi va uning xossalarini sinash; Kislotalarning olinishi va xossalari; Kislotalarning metallar bilan o‘zaro ta’siri; Suvning oksidlar bilan o‘zaro ta’siri</x:v>
      </x:c>
      <x:c r="M19" s="24" t="str">
        <x:v>Qisman mavjud</x:v>
      </x:c>
      <x:c r="N19" s="24" t="str">
        <x:v>Universal tenglama balanslash trenajyori</x:v>
      </x:c>
      <x:c r="O19" s="24" t="str">
        <x:v>Tenglama tuzish amaliyoti trenajyor orqali, laboratoriyalar esa real reaksiyalar uchun kontekst beradi.</x:v>
      </x:c>
      <x:c r="P19" s="24" t="str">
        <x:v>KimyoLab_v19.html</x:v>
      </x:c>
    </x:row>
    <x:row r="20">
      <x:c r="A20" s="24" t="n">
        <x:v>16</x:v>
      </x:c>
      <x:c r="B20" s="24" t="str">
        <x:v>7-sinf</x:v>
      </x:c>
      <x:c r="C20" s="24" t="str">
        <x:v>7.16</x:v>
      </x:c>
      <x:c r="D20" s="24" t="str">
        <x:v>Kimyoviy elementlarning tavsiflanishi va tabiiy oilalari</x:v>
      </x:c>
      <x:c r="E20" s="24" t="str">
        <x:v>III bob, 1-2-mavzular</x:v>
      </x:c>
      <x:c r="F20" s="24" t="str">
        <x:v>Metallar, metallmaslar, ishqoriy metallar, galogenlar, inert gazlar</x:v>
      </x:c>
      <x:c r="G20" s="24" t="str">
        <x:v>Rangli tasnif xaritasi</x:v>
      </x:c>
      <x:c r="H20" s="24" t="str">
        <x:v>Elementlarni oilalar bo‘yicha filtrlash</x:v>
      </x:c>
      <x:c r="I20" s="24" t="str">
        <x:v>Simulyatsiya</x:v>
      </x:c>
      <x:c r="J20" s="24" t="str">
        <x:v>Trenajyor</x:v>
      </x:c>
      <x:c r="K20" s="24" t="str"/>
      <x:c r="L20" s="24" t="str"/>
      <x:c r="M20" s="24" t="str">
        <x:v>Yangi kerak</x:v>
      </x:c>
      <x:c r="N20" s="24" t="str">
        <x:v>Element oilalari bo‘yicha rangli tasnif va filtrlash</x:v>
      </x:c>
      <x:c r="O20" s="24" t="str">
        <x:v>Tabiiy oilalarni davriy jadvalda ko‘rish va guruhlash asosiy amaliyot.</x:v>
      </x:c>
      <x:c r="P20" s="24" t="str">
        <x:v>KimyoLab_v19.html</x:v>
      </x:c>
    </x:row>
    <x:row r="21">
      <x:c r="A21" s="24" t="n">
        <x:v>17</x:v>
      </x:c>
      <x:c r="B21" s="24" t="str">
        <x:v>7-sinf</x:v>
      </x:c>
      <x:c r="C21" s="24" t="str">
        <x:v>7.17</x:v>
      </x:c>
      <x:c r="D21" s="24" t="str">
        <x:v>Kimyoviy elementlar davriy jadvali</x:v>
      </x:c>
      <x:c r="E21" s="24" t="str">
        <x:v>III bob, 3-mavzu</x:v>
      </x:c>
      <x:c r="F21" s="24" t="str">
        <x:v>Davr, guruh, element o‘rni</x:v>
      </x:c>
      <x:c r="G21" s="24" t="str">
        <x:v>Interaktiv davriy jadval</x:v>
      </x:c>
      <x:c r="H21" s="24" t="str">
        <x:v>Elementni bosib karta, xossa va bog‘liq mavzularni ochish</x:v>
      </x:c>
      <x:c r="I21" s="24" t="str">
        <x:v>Simulyatsiya</x:v>
      </x:c>
      <x:c r="J21" s="24" t="str">
        <x:v>Trenajyor</x:v>
      </x:c>
      <x:c r="K21" s="24" t="str"/>
      <x:c r="L21" s="24" t="str"/>
      <x:c r="M21" s="24" t="str">
        <x:v>Yangi kerak</x:v>
      </x:c>
      <x:c r="N21" s="24" t="str">
        <x:v>Interaktiv davriy jadval: guruh/davr/element pasporti</x:v>
      </x:c>
      <x:c r="O21" s="24" t="str">
        <x:v>Mavzuning o‘zi interaktiv davriy jadval bilan amaliy o‘rganiladi.</x:v>
      </x:c>
      <x:c r="P21" s="24" t="str">
        <x:v>KimyoLab_v19.html</x:v>
      </x:c>
    </x:row>
    <x:row r="22">
      <x:c r="A22" s="24" t="n">
        <x:v>18</x:v>
      </x:c>
      <x:c r="B22" s="24" t="str">
        <x:v>7-sinf</x:v>
      </x:c>
      <x:c r="C22" s="24" t="str">
        <x:v>7.18</x:v>
      </x:c>
      <x:c r="D22" s="24" t="str">
        <x:v>Havo tarkibi va havoning ifloslanishi</x:v>
      </x:c>
      <x:c r="E22" s="24" t="str">
        <x:v>IV bob, 1-mavzu</x:v>
      </x:c>
      <x:c r="F22" s="24" t="str">
        <x:v>Atmosfera tarkibi, ifloslantiruvchi omillar</x:v>
      </x:c>
      <x:c r="G22" s="24" t="str">
        <x:v>Animatsion infografika</x:v>
      </x:c>
      <x:c r="H22" s="24" t="str">
        <x:v>Manbalarni tanlab ifloslanish oqibatini ko‘rish</x:v>
      </x:c>
      <x:c r="I22" s="24" t="str">
        <x:v>Case</x:v>
      </x:c>
      <x:c r="J22" s="24" t="str">
        <x:v>Simulyatsiya</x:v>
      </x:c>
      <x:c r="K22" s="24" t="str">
        <x:v>7.14</x:v>
      </x:c>
      <x:c r="L22" s="24" t="str">
        <x:v>Ekologik izni kamaytirish</x:v>
      </x:c>
      <x:c r="M22" s="24" t="str">
        <x:v>Qisman mavjud</x:v>
      </x:c>
      <x:c r="N22" s="24" t="str">
        <x:v>Havo ifloslanishi manbai–oqibat–yechim case’i</x:v>
      </x:c>
      <x:c r="O22" s="24" t="str">
        <x:v>7.14 ekologik izni kamaytirish faoliyati ekologik transfer uchun mos.</x:v>
      </x:c>
      <x:c r="P22" s="24" t="str">
        <x:v>KimyoLab_v19.html</x:v>
      </x:c>
    </x:row>
    <x:row r="23">
      <x:c r="A23" s="24" t="n">
        <x:v>19</x:v>
      </x:c>
      <x:c r="B23" s="24" t="str">
        <x:v>7-sinf</x:v>
      </x:c>
      <x:c r="C23" s="24" t="str">
        <x:v>7.19</x:v>
      </x:c>
      <x:c r="D23" s="24" t="str">
        <x:v>Kislorod: xossalari, yonish, ozon va oksidlar</x:v>
      </x:c>
      <x:c r="E23" s="24" t="str">
        <x:v>IV bob, 2-10-mavzular</x:v>
      </x:c>
      <x:c r="F23" s="24" t="str">
        <x:v>O2, O3, yonish, oksidlanish, oksid</x:v>
      </x:c>
      <x:c r="G23" s="24" t="str">
        <x:v>Jarayon animatsiyasi va reaksiyalar xaritasi</x:v>
      </x:c>
      <x:c r="H23" s="24" t="str">
        <x:v>Modda tanlab kislorodda yonish natijasini ko‘rish</x:v>
      </x:c>
      <x:c r="I23" s="24" t="str">
        <x:v>Lab</x:v>
      </x:c>
      <x:c r="J23" s="24" t="str">
        <x:v>Simulyatsiya; Trenajyor</x:v>
      </x:c>
      <x:c r="K23" s="24" t="str">
        <x:v>7.7</x:v>
      </x:c>
      <x:c r="L23" s="24" t="str">
        <x:v>Alanga tuzilishi va moddalarning kislorodda yonishi</x:v>
      </x:c>
      <x:c r="M23" s="24" t="str">
        <x:v>Mavjud</x:v>
      </x:c>
      <x:c r="N23" s="24" t="str">
        <x:v>Kislorodda yonish reaksiyalari xaritasi va tenglama mashqi</x:v>
      </x:c>
      <x:c r="O23" s="24" t="str">
        <x:v>7.7 kislorodda C, S, Fe yonishini bevosita bajaradi.</x:v>
      </x:c>
      <x:c r="P23" s="24" t="str">
        <x:v>KimyoLab_v19.html</x:v>
      </x:c>
    </x:row>
    <x:row r="24">
      <x:c r="A24" s="24" t="n">
        <x:v>20</x:v>
      </x:c>
      <x:c r="B24" s="24" t="str">
        <x:v>7-sinf</x:v>
      </x:c>
      <x:c r="C24" s="24" t="str">
        <x:v>7.20</x:v>
      </x:c>
      <x:c r="D24" s="24" t="str">
        <x:v>Vodorod, kislotalar va kislotali yomg‘ir</x:v>
      </x:c>
      <x:c r="E24" s="24" t="str">
        <x:v>V bob, 1, 3, 4, 7-mavzular</x:v>
      </x:c>
      <x:c r="F24" s="24" t="str">
        <x:v>H2, kislota xossalari, indikator, ekologik ta’sir</x:v>
      </x:c>
      <x:c r="G24" s="24" t="str">
        <x:v>Reaksiya xaritasi va ekologik animatsiya</x:v>
      </x:c>
      <x:c r="H24" s="24" t="str">
        <x:v>Metall va kislota tanlab mahsulotni aniqlash</x:v>
      </x:c>
      <x:c r="I24" s="24" t="str">
        <x:v>Lab</x:v>
      </x:c>
      <x:c r="J24" s="24" t="str">
        <x:v>Simulyatsiya; Case</x:v>
      </x:c>
      <x:c r="K24" s="24" t="str">
        <x:v>7.8; 7.9; 7.10</x:v>
      </x:c>
      <x:c r="L24" s="24" t="str">
        <x:v>Vodorodning olinishi va uning xossalarini sinash; Kislotalarning olinishi va xossalari; Kislotalarning metallar bilan o‘zaro ta’siri</x:v>
      </x:c>
      <x:c r="M24" s="24" t="str">
        <x:v>Qisman mavjud</x:v>
      </x:c>
      <x:c r="N24" s="24" t="str">
        <x:v>Kislota yomg‘iri bo‘yicha ekologik case</x:v>
      </x:c>
      <x:c r="O24" s="24" t="str">
        <x:v>7.8 vodorod, 7.9–7.10 kislotalar va metall bilan reaksiyalarni qamrab oladi; ekologik qismi case bilan to‘ldiriladi.</x:v>
      </x:c>
      <x:c r="P24" s="24" t="str">
        <x:v>KimyoLab_v19.html</x:v>
      </x:c>
    </x:row>
    <x:row r="25">
      <x:c r="A25" s="24" t="n">
        <x:v>21</x:v>
      </x:c>
      <x:c r="B25" s="24" t="str">
        <x:v>7-sinf</x:v>
      </x:c>
      <x:c r="C25" s="24" t="str">
        <x:v>7.21</x:v>
      </x:c>
      <x:c r="D25" s="24" t="str">
        <x:v>Suv: tarkibi, aylanishi, xossalari, neytrallanish va tozalash</x:v>
      </x:c>
      <x:c r="E25" s="24" t="str">
        <x:v>VI bob, 1-7-mavzular</x:v>
      </x:c>
      <x:c r="F25" s="24" t="str">
        <x:v>H2O, agregat holat, suv aylanishi, neytrallanish, filtratsiya</x:v>
      </x:c>
      <x:c r="G25" s="24" t="str">
        <x:v>Suv aylanishi va tozalash simulyatori</x:v>
      </x:c>
      <x:c r="H25" s="24" t="str">
        <x:v>Tozalash bosqichlarini to‘g‘ri ketma-ketlikda joylashtirish</x:v>
      </x:c>
      <x:c r="I25" s="24" t="str">
        <x:v>Lab</x:v>
      </x:c>
      <x:c r="J25" s="24" t="str">
        <x:v>Simulyatsiya; Case</x:v>
      </x:c>
      <x:c r="K25" s="24" t="str">
        <x:v>7.2; 7.6; 7.11; 7.12; 7.14</x:v>
      </x:c>
      <x:c r="L25" s="24" t="str">
        <x:v>Aralashmalar tarkibidan sof moddani ajratish: ifloslangan osh tuzini tozalash; Suvning agregat holatlari o‘zgarishini kuzatish; Suvning oksidlar bilan o‘zaro ta’siri; Suvning fizik xossalarini o‘rganish; Ekologik izni kamaytirish</x:v>
      </x:c>
      <x:c r="M25" s="24" t="str">
        <x:v>Mavjud</x:v>
      </x:c>
      <x:c r="N25" s="24" t="str">
        <x:v>Suv aylanishi–tozalash bosqichlari simulyatori</x:v>
      </x:c>
      <x:c r="O25" s="24" t="str">
        <x:v>Bir nechta mavjud amaliyot suvning holati, oksidlar bilan ta’siri va tozalashni qamrab oladi.</x:v>
      </x:c>
      <x:c r="P25" s="24" t="str">
        <x:v>KimyoLab_v19.html</x:v>
      </x:c>
    </x:row>
    <x:row r="26">
      <x:c r="A26" s="24" t="n">
        <x:v>22</x:v>
      </x:c>
      <x:c r="B26" s="24" t="str">
        <x:v>7-sinf</x:v>
      </x:c>
      <x:c r="C26" s="24" t="str">
        <x:v>7.22</x:v>
      </x:c>
      <x:c r="D26" s="24" t="str">
        <x:v>Tirik organizmlardagi elementlar, oqsil, yog‘, uglevod, vitamin va minerallar</x:v>
      </x:c>
      <x:c r="E26" s="24" t="str">
        <x:v>VII bob, 1-4-mavzular</x:v>
      </x:c>
      <x:c r="F26" s="24" t="str">
        <x:v>Biogen elementlar, organik modda, oziq tarkibi</x:v>
      </x:c>
      <x:c r="G26" s="24" t="str">
        <x:v>Inson tanasi va hujayra infografikasi</x:v>
      </x:c>
      <x:c r="H26" s="24" t="str">
        <x:v>Elementni bosib biologik vazifasini ko‘rish</x:v>
      </x:c>
      <x:c r="I26" s="24" t="str">
        <x:v>Lab</x:v>
      </x:c>
      <x:c r="J26" s="24" t="str">
        <x:v>Case; Simulyatsiya</x:v>
      </x:c>
      <x:c r="K26" s="24" t="str">
        <x:v>7.13</x:v>
      </x:c>
      <x:c r="L26" s="24" t="str">
        <x:v>Olma tarkibini aniqlash</x:v>
      </x:c>
      <x:c r="M26" s="24" t="str">
        <x:v>Qisman mavjud</x:v>
      </x:c>
      <x:c r="N26" s="24" t="str">
        <x:v>Oziq tarkibi va biogen elementlar bo‘yicha case</x:v>
      </x:c>
      <x:c r="O26" s="24" t="str">
        <x:v>7.13 olma tarkibini indikator va reaktivlar bilan tekshirish orqali oziq moddalari mavzusiga ulanadi.</x:v>
      </x:c>
      <x:c r="P26" s="24" t="str">
        <x:v>KimyoLab_v19.html</x:v>
      </x:c>
    </x:row>
    <x:row r="27">
      <x:c r="A27" s="24" t="n">
        <x:v>23</x:v>
      </x:c>
      <x:c r="B27" s="24" t="str">
        <x:v>7-sinf</x:v>
      </x:c>
      <x:c r="C27" s="24" t="str">
        <x:v>7.23</x:v>
      </x:c>
      <x:c r="D27" s="24" t="str">
        <x:v>Foydali qazilmalar, konlar va ekologik aspektlar</x:v>
      </x:c>
      <x:c r="E27" s="24" t="str">
        <x:v>VIII bob, 1-4-mavzular</x:v>
      </x:c>
      <x:c r="F27" s="24" t="str">
        <x:v>Mineral, kon, qazib olish, barqaror rivojlanish</x:v>
      </x:c>
      <x:c r="G27" s="24" t="str">
        <x:v>O‘zbekiston xaritasi va jarayon sxemasi</x:v>
      </x:c>
      <x:c r="H27" s="24" t="str">
        <x:v>Konni xaritada tanlab xomashyo va ta’sirini ko‘rish</x:v>
      </x:c>
      <x:c r="I27" s="24" t="str">
        <x:v>Case</x:v>
      </x:c>
      <x:c r="J27" s="24" t="str">
        <x:v>Simulyatsiya</x:v>
      </x:c>
      <x:c r="K27" s="24" t="str">
        <x:v>7.14</x:v>
      </x:c>
      <x:c r="L27" s="24" t="str">
        <x:v>Ekologik izni kamaytirish</x:v>
      </x:c>
      <x:c r="M27" s="24" t="str">
        <x:v>Qisman mavjud</x:v>
      </x:c>
      <x:c r="N27" s="24" t="str">
        <x:v>O‘zbekiston konlari va ekologik ta’sir xaritasi</x:v>
      </x:c>
      <x:c r="O27" s="24" t="str">
        <x:v>Mavzu kon–xomashyo–ekologik ta’sir zanjirini muammoli case orqali qo‘llashni talab qiladi.</x:v>
      </x:c>
      <x:c r="P27" s="24" t="str">
        <x:v>KimyoLab_v19.html</x:v>
      </x:c>
    </x:row>
    <x:row r="28">
      <x:c r="A28" s="24" t="n">
        <x:v>24</x:v>
      </x:c>
      <x:c r="B28" s="24" t="str">
        <x:v>8-sinf</x:v>
      </x:c>
      <x:c r="C28" s="24" t="str">
        <x:v>8.01</x:v>
      </x:c>
      <x:c r="D28" s="24" t="str">
        <x:v>Dastlabki kimyoviy tushunchalar va noorganik birikmalarning asosiy sinflari</x:v>
      </x:c>
      <x:c r="E28" s="24" t="str">
        <x:v>I bob, 1-2-§</x:v>
      </x:c>
      <x:c r="F28" s="24" t="str">
        <x:v>Valentlik, mol, oksid, asos, kislota, tuz</x:v>
      </x:c>
      <x:c r="G28" s="24" t="str">
        <x:v>Takrorlash xaritasi</x:v>
      </x:c>
      <x:c r="H28" s="24" t="str">
        <x:v>Sinf bo‘yicha tushunchalarni bog‘lash</x:v>
      </x:c>
      <x:c r="I28" s="24" t="str">
        <x:v>Trenajyor</x:v>
      </x:c>
      <x:c r="J28" s="24" t="str">
        <x:v>Lab; Simulyatsiya</x:v>
      </x:c>
      <x:c r="K28" s="24" t="str">
        <x:v>8.6</x:v>
      </x:c>
      <x:c r="L28" s="24" t="str">
        <x:v>Rux gidroksidning olinishi, unga kislota va ishqor ta’siri</x:v>
      </x:c>
      <x:c r="M28" s="24" t="str">
        <x:v>Qisman mavjud</x:v>
      </x:c>
      <x:c r="N28" s="24" t="str">
        <x:v>Noorganik sinflarni formula/xossa bo‘yicha tasniflash trenajyori</x:v>
      </x:c>
      <x:c r="O28" s="24" t="str">
        <x:v>Takrorlash mavzusi keng; 8.6 gidroksidlarning xossalariga amaliy misol beradi.</x:v>
      </x:c>
      <x:c r="P28" s="24" t="str">
        <x:v>KimyoLab_v19.html</x:v>
      </x:c>
    </x:row>
    <x:row r="29">
      <x:c r="A29" s="24" t="n">
        <x:v>25</x:v>
      </x:c>
      <x:c r="B29" s="24" t="str">
        <x:v>8-sinf</x:v>
      </x:c>
      <x:c r="C29" s="24" t="str">
        <x:v>8.02</x:v>
      </x:c>
      <x:c r="D29" s="24" t="str">
        <x:v>Kimyoviy elementlarning dastlabki toifalanishi va tabiiy oilalari</x:v>
      </x:c>
      <x:c r="E29" s="24" t="str">
        <x:v>II bob, 3-4-§, 17-24-betlar</x:v>
      </x:c>
      <x:c r="F29" s="24" t="str">
        <x:v>Elementlar toifalanishi, triadalar, oilalar</x:v>
      </x:c>
      <x:c r="G29" s="24" t="str">
        <x:v>Tarixiy vaqt chizig‘i va rangli jadval</x:v>
      </x:c>
      <x:c r="H29" s="24" t="str">
        <x:v>Davrlar bo‘yicha tasniflash usullarini solishtirish</x:v>
      </x:c>
      <x:c r="I29" s="24" t="str">
        <x:v>Simulyatsiya</x:v>
      </x:c>
      <x:c r="J29" s="24" t="str">
        <x:v>Case</x:v>
      </x:c>
      <x:c r="K29" s="24" t="str"/>
      <x:c r="L29" s="24" t="str"/>
      <x:c r="M29" s="24" t="str">
        <x:v>Yangi kerak</x:v>
      </x:c>
      <x:c r="N29" s="24" t="str">
        <x:v>Tarixiy tasniflash usullarini vaqt chizig‘ida solishtirish</x:v>
      </x:c>
      <x:c r="O29" s="24" t="str">
        <x:v>Tajriba emas, tarixiy-model faoliyat eng mos.</x:v>
      </x:c>
      <x:c r="P29" s="24" t="str">
        <x:v>KimyoLab_v19.html</x:v>
      </x:c>
    </x:row>
    <x:row r="30">
      <x:c r="A30" s="24" t="n">
        <x:v>26</x:v>
      </x:c>
      <x:c r="B30" s="24" t="str">
        <x:v>8-sinf</x:v>
      </x:c>
      <x:c r="C30" s="24" t="str">
        <x:v>8.03</x:v>
      </x:c>
      <x:c r="D30" s="24" t="str">
        <x:v>Davriy qonun va elementlar davriy sistemasi</x:v>
      </x:c>
      <x:c r="E30" s="24" t="str">
        <x:v>II bob, 5-6-§, 25-31-betlar</x:v>
      </x:c>
      <x:c r="F30" s="24" t="str">
        <x:v>Davriy qonun, guruh, davr, xossalarning davriyligi</x:v>
      </x:c>
      <x:c r="G30" s="24" t="str">
        <x:v>Interaktiv davriy jadval</x:v>
      </x:c>
      <x:c r="H30" s="24" t="str">
        <x:v>Xossa filtrlari va davr bo‘yicha animatsion o‘zgarish</x:v>
      </x:c>
      <x:c r="I30" s="24" t="str">
        <x:v>Simulyatsiya</x:v>
      </x:c>
      <x:c r="J30" s="24" t="str">
        <x:v>Trenajyor</x:v>
      </x:c>
      <x:c r="K30" s="24" t="str"/>
      <x:c r="L30" s="24" t="str"/>
      <x:c r="M30" s="24" t="str">
        <x:v>Yangi kerak</x:v>
      </x:c>
      <x:c r="N30" s="24" t="str">
        <x:v>Davriy trend filtrlari va element pasporti</x:v>
      </x:c>
      <x:c r="O30" s="24" t="str">
        <x:v>Davriy qonunni jadval va trendlar orqali amaliy ko‘rish zarur.</x:v>
      </x:c>
      <x:c r="P30" s="24" t="str">
        <x:v>KimyoLab_v19.html</x:v>
      </x:c>
    </x:row>
    <x:row r="31">
      <x:c r="A31" s="24" t="n">
        <x:v>27</x:v>
      </x:c>
      <x:c r="B31" s="24" t="str">
        <x:v>8-sinf</x:v>
      </x:c>
      <x:c r="C31" s="24" t="str">
        <x:v>8.04</x:v>
      </x:c>
      <x:c r="D31" s="24" t="str">
        <x:v>Atom yadrosi tarkibi</x:v>
      </x:c>
      <x:c r="E31" s="24" t="str">
        <x:v>II bob, 7-§, 32-35-betlar</x:v>
      </x:c>
      <x:c r="F31" s="24" t="str">
        <x:v>Proton, neytron, yadro zaryadi, massa soni</x:v>
      </x:c>
      <x:c r="G31" s="24" t="str">
        <x:v>Yadro konstruktori</x:v>
      </x:c>
      <x:c r="H31" s="24" t="str">
        <x:v>Zarracha sonlarini tanlab atomni yig‘ish</x:v>
      </x:c>
      <x:c r="I31" s="24" t="str">
        <x:v>Simulyatsiya</x:v>
      </x:c>
      <x:c r="J31" s="24" t="str">
        <x:v>Trenajyor</x:v>
      </x:c>
      <x:c r="K31" s="24" t="str"/>
      <x:c r="L31" s="24" t="str"/>
      <x:c r="M31" s="24" t="str">
        <x:v>Yangi kerak</x:v>
      </x:c>
      <x:c r="N31" s="24" t="str">
        <x:v>Yadro konstruktori</x:v>
      </x:c>
      <x:c r="O31" s="24" t="str">
        <x:v>Atom yadrosi laboratoriya emas, model orqali o‘zlashtiriladi.</x:v>
      </x:c>
      <x:c r="P31" s="24" t="str">
        <x:v>KimyoLab_v19.html</x:v>
      </x:c>
    </x:row>
    <x:row r="32">
      <x:c r="A32" s="24" t="n">
        <x:v>28</x:v>
      </x:c>
      <x:c r="B32" s="24" t="str">
        <x:v>8-sinf</x:v>
      </x:c>
      <x:c r="C32" s="24" t="str">
        <x:v>8.05</x:v>
      </x:c>
      <x:c r="D32" s="24" t="str">
        <x:v>Izotoplar va izobarlar</x:v>
      </x:c>
      <x:c r="E32" s="24" t="str">
        <x:v>II bob, 8-§, 36-38-betlar</x:v>
      </x:c>
      <x:c r="F32" s="24" t="str">
        <x:v>Izotop, izobar, massa soni</x:v>
      </x:c>
      <x:c r="G32" s="24" t="str">
        <x:v>Taqqoslash konstruktori</x:v>
      </x:c>
      <x:c r="H32" s="24" t="str">
        <x:v>Juft atomlarni toifa bo‘yicha ajratish</x:v>
      </x:c>
      <x:c r="I32" s="24" t="str">
        <x:v>Simulyatsiya</x:v>
      </x:c>
      <x:c r="J32" s="24" t="str">
        <x:v>Trenajyor</x:v>
      </x:c>
      <x:c r="K32" s="24" t="str"/>
      <x:c r="L32" s="24" t="str"/>
      <x:c r="M32" s="24" t="str">
        <x:v>Yangi kerak</x:v>
      </x:c>
      <x:c r="N32" s="24" t="str">
        <x:v>Izotop/izobar juftliklarini qurish va tasniflash</x:v>
      </x:c>
      <x:c r="O32" s="24" t="str">
        <x:v>Zarralar soni bilan ishlash amaliyoti.</x:v>
      </x:c>
      <x:c r="P32" s="24" t="str">
        <x:v>KimyoLab_v19.html</x:v>
      </x:c>
    </x:row>
    <x:row r="33">
      <x:c r="A33" s="24" t="n">
        <x:v>29</x:v>
      </x:c>
      <x:c r="B33" s="24" t="str">
        <x:v>8-sinf</x:v>
      </x:c>
      <x:c r="C33" s="24" t="str">
        <x:v>8.06</x:v>
      </x:c>
      <x:c r="D33" s="24" t="str">
        <x:v>Atom elektron qavatlari va energetik pog‘onachalar</x:v>
      </x:c>
      <x:c r="E33" s="24" t="str">
        <x:v>II bob, 9-10-§, 39-45-betlar</x:v>
      </x:c>
      <x:c r="F33" s="24" t="str">
        <x:v>Elektron qavat, orbital, s va p pog‘onacha</x:v>
      </x:c>
      <x:c r="G33" s="24" t="str">
        <x:v>Energiya diagrammasi</x:v>
      </x:c>
      <x:c r="H33" s="24" t="str">
        <x:v>Elektronlarni qavat va orbital kataklarga joylashtirish</x:v>
      </x:c>
      <x:c r="I33" s="24" t="str">
        <x:v>Simulyatsiya</x:v>
      </x:c>
      <x:c r="J33" s="24" t="str">
        <x:v>Trenajyor</x:v>
      </x:c>
      <x:c r="K33" s="24" t="str"/>
      <x:c r="L33" s="24" t="str"/>
      <x:c r="M33" s="24" t="str">
        <x:v>Yangi kerak</x:v>
      </x:c>
      <x:c r="N33" s="24" t="str">
        <x:v>Orbital va energetik pog‘onacha konstruktori</x:v>
      </x:c>
      <x:c r="O33" s="24" t="str">
        <x:v>Elektronlarni qavat/orbitallarga joylashtirish kerak.</x:v>
      </x:c>
      <x:c r="P33" s="24" t="str">
        <x:v>KimyoLab_v19.html</x:v>
      </x:c>
    </x:row>
    <x:row r="34">
      <x:c r="A34" s="24" t="n">
        <x:v>30</x:v>
      </x:c>
      <x:c r="B34" s="24" t="str">
        <x:v>8-sinf</x:v>
      </x:c>
      <x:c r="C34" s="24" t="str">
        <x:v>8.07</x:v>
      </x:c>
      <x:c r="D34" s="24" t="str">
        <x:v>Kichik va katta davr elementlarining atom tuzilishi</x:v>
      </x:c>
      <x:c r="E34" s="24" t="str">
        <x:v>II bob, 11-12-§, 46-50-betlar</x:v>
      </x:c>
      <x:c r="F34" s="24" t="str">
        <x:v>Davrlar, elektron taqsimlanish</x:v>
      </x:c>
      <x:c r="G34" s="24" t="str">
        <x:v>Elektron konfiguratsiya generatori</x:v>
      </x:c>
      <x:c r="H34" s="24" t="str">
        <x:v>Elementni tanlab qavatlar to‘lishini ko‘rish</x:v>
      </x:c>
      <x:c r="I34" s="24" t="str">
        <x:v>Trenajyor</x:v>
      </x:c>
      <x:c r="J34" s="24" t="str">
        <x:v>Simulyatsiya</x:v>
      </x:c>
      <x:c r="K34" s="24" t="str"/>
      <x:c r="L34" s="24" t="str"/>
      <x:c r="M34" s="24" t="str">
        <x:v>Yangi kerak</x:v>
      </x:c>
      <x:c r="N34" s="24" t="str">
        <x:v>Elektron konfiguratsiya generatori</x:v>
      </x:c>
      <x:c r="O34" s="24" t="str">
        <x:v>Davr elementlarining qavatlar to‘lishini mashq qiladi.</x:v>
      </x:c>
      <x:c r="P34" s="24" t="str">
        <x:v>KimyoLab_v19.html</x:v>
      </x:c>
    </x:row>
    <x:row r="35">
      <x:c r="A35" s="24" t="n">
        <x:v>31</x:v>
      </x:c>
      <x:c r="B35" s="24" t="str">
        <x:v>8-sinf</x:v>
      </x:c>
      <x:c r="C35" s="24" t="str">
        <x:v>8.08</x:v>
      </x:c>
      <x:c r="D35" s="24" t="str">
        <x:v>Elementni davriy sistemadagi o‘rni va atom tuzilishiga qarab tavsiflash</x:v>
      </x:c>
      <x:c r="E35" s="24" t="str">
        <x:v>II bob, 13-§, 51-62-betlar</x:v>
      </x:c>
      <x:c r="F35" s="24" t="str">
        <x:v>Guruh, davr, konfiguratsiya, xossa</x:v>
      </x:c>
      <x:c r="G35" s="24" t="str">
        <x:v>Element pasporti</x:v>
      </x:c>
      <x:c r="H35" s="24" t="str">
        <x:v>Elementni bosib to‘liq tavsif kartasini yaratish</x:v>
      </x:c>
      <x:c r="I35" s="24" t="str">
        <x:v>Trenajyor</x:v>
      </x:c>
      <x:c r="J35" s="24" t="str">
        <x:v>Simulyatsiya</x:v>
      </x:c>
      <x:c r="K35" s="24" t="str"/>
      <x:c r="L35" s="24" t="str"/>
      <x:c r="M35" s="24" t="str">
        <x:v>Yangi kerak</x:v>
      </x:c>
      <x:c r="N35" s="24" t="str">
        <x:v>Element pasportini avtomatik tuzish</x:v>
      </x:c>
      <x:c r="O35" s="24" t="str">
        <x:v>Davriy o‘rin va atom tuzilishini birlashtiradi.</x:v>
      </x:c>
      <x:c r="P35" s="24" t="str">
        <x:v>KimyoLab_v19.html</x:v>
      </x:c>
    </x:row>
    <x:row r="36">
      <x:c r="A36" s="24" t="n">
        <x:v>32</x:v>
      </x:c>
      <x:c r="B36" s="24" t="str">
        <x:v>8-sinf</x:v>
      </x:c>
      <x:c r="C36" s="24" t="str">
        <x:v>8.09</x:v>
      </x:c>
      <x:c r="D36" s="24" t="str">
        <x:v>Nisbiy elektromanfiylik</x:v>
      </x:c>
      <x:c r="E36" s="24" t="str">
        <x:v>III bob, 14-§, 64-65-betlar</x:v>
      </x:c>
      <x:c r="F36" s="24" t="str">
        <x:v>Elektromanfiylik, davriy o‘zgarish</x:v>
      </x:c>
      <x:c r="G36" s="24" t="str">
        <x:v>Gradient xarita</x:v>
      </x:c>
      <x:c r="H36" s="24" t="str">
        <x:v>Element juftligini tanlab farqini ko‘rish</x:v>
      </x:c>
      <x:c r="I36" s="24" t="str">
        <x:v>Simulyatsiya</x:v>
      </x:c>
      <x:c r="J36" s="24" t="str">
        <x:v>Trenajyor</x:v>
      </x:c>
      <x:c r="K36" s="24" t="str"/>
      <x:c r="L36" s="24" t="str"/>
      <x:c r="M36" s="24" t="str">
        <x:v>Yangi kerak</x:v>
      </x:c>
      <x:c r="N36" s="24" t="str">
        <x:v>Elektromanfiylik gradienti va juftlik taqqoslash</x:v>
      </x:c>
      <x:c r="O36" s="24" t="str">
        <x:v>Mavzu trendni ko‘rish va juftliklarni solishtirishga asoslangan.</x:v>
      </x:c>
      <x:c r="P36" s="24" t="str">
        <x:v>KimyoLab_v19.html</x:v>
      </x:c>
    </x:row>
    <x:row r="37">
      <x:c r="A37" s="24" t="n">
        <x:v>33</x:v>
      </x:c>
      <x:c r="B37" s="24" t="str">
        <x:v>8-sinf</x:v>
      </x:c>
      <x:c r="C37" s="24" t="str">
        <x:v>8.10</x:v>
      </x:c>
      <x:c r="D37" s="24" t="str">
        <x:v>Qutbli va qutbsiz kovalent bog‘lanish</x:v>
      </x:c>
      <x:c r="E37" s="24" t="str">
        <x:v>III bob, 15-§, 66-70-betlar</x:v>
      </x:c>
      <x:c r="F37" s="24" t="str">
        <x:v>Elektron juft, qutblanish</x:v>
      </x:c>
      <x:c r="G37" s="24" t="str">
        <x:v>2D/3D bog‘lanish animatsiyasi</x:v>
      </x:c>
      <x:c r="H37" s="24" t="str">
        <x:v>Atomlarni yaqinlashtirib elektron juft hosil qilish</x:v>
      </x:c>
      <x:c r="I37" s="24" t="str">
        <x:v>Simulyatsiya</x:v>
      </x:c>
      <x:c r="J37" s="24" t="str">
        <x:v>Lab</x:v>
      </x:c>
      <x:c r="K37" s="24" t="str">
        <x:v>8.7</x:v>
      </x:c>
      <x:c r="L37" s="24" t="str">
        <x:v>Turli kimyoviy bog‘lanishli moddalar kristall panjaralari modellarini tayyorlash</x:v>
      </x:c>
      <x:c r="M37" s="24" t="str">
        <x:v>Qisman mavjud</x:v>
      </x:c>
      <x:c r="N37" s="24" t="str">
        <x:v>Kovalent bog‘ hosil bo‘lish 2D/3D modeli</x:v>
      </x:c>
      <x:c r="O37" s="24" t="str">
        <x:v>8.7 kristall model amaliyoti bog‘lanish–tuzilish bog‘ini qo‘llab-quvvatlaydi.</x:v>
      </x:c>
      <x:c r="P37" s="24" t="str">
        <x:v>KimyoLab_v19.html</x:v>
      </x:c>
    </x:row>
    <x:row r="38">
      <x:c r="A38" s="24" t="n">
        <x:v>34</x:v>
      </x:c>
      <x:c r="B38" s="24" t="str">
        <x:v>8-sinf</x:v>
      </x:c>
      <x:c r="C38" s="24" t="str">
        <x:v>8.11</x:v>
      </x:c>
      <x:c r="D38" s="24" t="str">
        <x:v>Ionli bog‘lanish</x:v>
      </x:c>
      <x:c r="E38" s="24" t="str">
        <x:v>III bob, 16-§, 71-73-betlar</x:v>
      </x:c>
      <x:c r="F38" s="24" t="str">
        <x:v>Elektron berish-olish, ionlar</x:v>
      </x:c>
      <x:c r="G38" s="24" t="str">
        <x:v>Ion hosil bo‘lish animatsiyasi</x:v>
      </x:c>
      <x:c r="H38" s="24" t="str">
        <x:v>Na va Cl kabi atomlar orasida elektron ko‘chirish</x:v>
      </x:c>
      <x:c r="I38" s="24" t="str">
        <x:v>Simulyatsiya</x:v>
      </x:c>
      <x:c r="J38" s="24" t="str">
        <x:v>Lab</x:v>
      </x:c>
      <x:c r="K38" s="24" t="str">
        <x:v>8.7</x:v>
      </x:c>
      <x:c r="L38" s="24" t="str">
        <x:v>Turli kimyoviy bog‘lanishli moddalar kristall panjaralari modellarini tayyorlash</x:v>
      </x:c>
      <x:c r="M38" s="24" t="str">
        <x:v>Qisman mavjud</x:v>
      </x:c>
      <x:c r="N38" s="24" t="str">
        <x:v>Ion hosil bo‘lish va elektron ko‘chishi simulyatsiyasi</x:v>
      </x:c>
      <x:c r="O38" s="24" t="str">
        <x:v>8.7 ion bog‘lanishli kristall modeli bilan bog‘lanadi.</x:v>
      </x:c>
      <x:c r="P38" s="24" t="str">
        <x:v>KimyoLab_v19.html</x:v>
      </x:c>
    </x:row>
    <x:row r="39">
      <x:c r="A39" s="24" t="n">
        <x:v>35</x:v>
      </x:c>
      <x:c r="B39" s="24" t="str">
        <x:v>8-sinf</x:v>
      </x:c>
      <x:c r="C39" s="24" t="str">
        <x:v>8.12</x:v>
      </x:c>
      <x:c r="D39" s="24" t="str">
        <x:v>Kristall panjaralar</x:v>
      </x:c>
      <x:c r="E39" s="24" t="str">
        <x:v>III bob, 17-§, 74-75-betlar</x:v>
      </x:c>
      <x:c r="F39" s="24" t="str">
        <x:v>Ion, atom, molekulyar va metall panjara</x:v>
      </x:c>
      <x:c r="G39" s="24" t="str">
        <x:v>3D kristall modeli</x:v>
      </x:c>
      <x:c r="H39" s="24" t="str">
        <x:v>Panjara turini aylantirib ko‘rish va xossalar bilan bog‘lash</x:v>
      </x:c>
      <x:c r="I39" s="24" t="str">
        <x:v>Lab</x:v>
      </x:c>
      <x:c r="J39" s="24" t="str">
        <x:v>Simulyatsiya</x:v>
      </x:c>
      <x:c r="K39" s="24" t="str">
        <x:v>8.7</x:v>
      </x:c>
      <x:c r="L39" s="24" t="str">
        <x:v>Turli kimyoviy bog‘lanishli moddalar kristall panjaralari modellarini tayyorlash</x:v>
      </x:c>
      <x:c r="M39" s="24" t="str">
        <x:v>Mavjud</x:v>
      </x:c>
      <x:c r="N39" s="24" t="str">
        <x:v>3D kristall panjara aylantirish modeli</x:v>
      </x:c>
      <x:c r="O39" s="24" t="str">
        <x:v>8.7 bevosita turli bog‘lanishli kristall panjara modellarini yasashga qaratilgan.</x:v>
      </x:c>
      <x:c r="P39" s="24" t="str">
        <x:v>KimyoLab_v19.html</x:v>
      </x:c>
    </x:row>
    <x:row r="40">
      <x:c r="A40" s="24" t="n">
        <x:v>36</x:v>
      </x:c>
      <x:c r="B40" s="24" t="str">
        <x:v>8-sinf</x:v>
      </x:c>
      <x:c r="C40" s="24" t="str">
        <x:v>8.13</x:v>
      </x:c>
      <x:c r="D40" s="24" t="str">
        <x:v>Oksidlanish darajasi</x:v>
      </x:c>
      <x:c r="E40" s="24" t="str">
        <x:v>III bob, 18-§, 76-79-betlar</x:v>
      </x:c>
      <x:c r="F40" s="24" t="str">
        <x:v>Oksidlanish darajasi, elektron balansga tayyorgarlik</x:v>
      </x:c>
      <x:c r="G40" s="24" t="str">
        <x:v>Belgilar konstruktori</x:v>
      </x:c>
      <x:c r="H40" s="24" t="str">
        <x:v>Formuladagi atomlarning darajasini aniqlash</x:v>
      </x:c>
      <x:c r="I40" s="24" t="str">
        <x:v>Trenajyor</x:v>
      </x:c>
      <x:c r="J40" s="24" t="str"/>
      <x:c r="K40" s="24" t="str"/>
      <x:c r="L40" s="24" t="str"/>
      <x:c r="M40" s="24" t="str">
        <x:v>Yangi kerak</x:v>
      </x:c>
      <x:c r="N40" s="24" t="str">
        <x:v>Oksidlanish darajasini formula bo‘yicha aniqlash trenajyori</x:v>
      </x:c>
      <x:c r="O40" s="24" t="str">
        <x:v>Belgilar va qoidalarni ko‘p misolda mashq qilish kerak.</x:v>
      </x:c>
      <x:c r="P40" s="24" t="str">
        <x:v>KimyoLab_v19.html</x:v>
      </x:c>
    </x:row>
    <x:row r="41">
      <x:c r="A41" s="24" t="n">
        <x:v>37</x:v>
      </x:c>
      <x:c r="B41" s="24" t="str">
        <x:v>8-sinf</x:v>
      </x:c>
      <x:c r="C41" s="24" t="str">
        <x:v>8.14</x:v>
      </x:c>
      <x:c r="D41" s="24" t="str">
        <x:v>Oksidlanish-qaytarilish reaksiyalari va tenglamalarni tuzish</x:v>
      </x:c>
      <x:c r="E41" s="24" t="str">
        <x:v>III bob, 19-20-§, 80-88-betlar</x:v>
      </x:c>
      <x:c r="F41" s="24" t="str">
        <x:v>Oksidlovchi, qaytaruvchi, elektron balans</x:v>
      </x:c>
      <x:c r="G41" s="24" t="str">
        <x:v>Elektron balans trenajyori</x:v>
      </x:c>
      <x:c r="H41" s="24" t="str">
        <x:v>Elektron yo‘qotish va qabul qilishni vizual tenglashtirish</x:v>
      </x:c>
      <x:c r="I41" s="24" t="str">
        <x:v>Trenajyor</x:v>
      </x:c>
      <x:c r="J41" s="24" t="str">
        <x:v>Lab; Simulyatsiya</x:v>
      </x:c>
      <x:c r="K41" s="24" t="str">
        <x:v>8.1; 8.10</x:v>
      </x:c>
      <x:c r="L41" s="24" t="str">
        <x:v>“Galogenlar” mavzusi bo‘yicha tajribaviy masalalar yechish; Galogenlarning birikmalar eritmalaridan bir-birini siqib chiqarishi</x:v>
      </x:c>
      <x:c r="M41" s="24" t="str">
        <x:v>Qisman mavjud</x:v>
      </x:c>
      <x:c r="N41" s="24" t="str">
        <x:v>Elektron balans + redoks jarayonini vizual ko‘rsatish</x:v>
      </x:c>
      <x:c r="O41" s="24" t="str">
        <x:v>Galogenlarning siqib chiqarishi va tajribaviy masalalar redoksga real kontekst beradi.</x:v>
      </x:c>
      <x:c r="P41" s="24" t="str">
        <x:v>KimyoLab_v19.html</x:v>
      </x:c>
    </x:row>
    <x:row r="42">
      <x:c r="A42" s="24" t="n">
        <x:v>38</x:v>
      </x:c>
      <x:c r="B42" s="24" t="str">
        <x:v>8-sinf</x:v>
      </x:c>
      <x:c r="C42" s="24" t="str">
        <x:v>8.15</x:v>
      </x:c>
      <x:c r="D42" s="24" t="str">
        <x:v>Metallmaslarning umumiy xossalari</x:v>
      </x:c>
      <x:c r="E42" s="24" t="str">
        <x:v>IV bob, 21-§, 89-91-betlar</x:v>
      </x:c>
      <x:c r="F42" s="24" t="str">
        <x:v>Metallmaslar, fizik va kimyoviy xossalar</x:v>
      </x:c>
      <x:c r="G42" s="24" t="str">
        <x:v>Taqqoslash paneli</x:v>
      </x:c>
      <x:c r="H42" s="24" t="str">
        <x:v>Elementlarni xossalari bo‘yicha solishtirish</x:v>
      </x:c>
      <x:c r="I42" s="24" t="str">
        <x:v>Lab</x:v>
      </x:c>
      <x:c r="J42" s="24" t="str">
        <x:v>Simulyatsiya</x:v>
      </x:c>
      <x:c r="K42" s="24" t="str">
        <x:v>8.12</x:v>
      </x:c>
      <x:c r="L42" s="24" t="str">
        <x:v>Oltingugurt va uning tabiiy birikmalari namunalari bilan tanishish</x:v>
      </x:c>
      <x:c r="M42" s="24" t="str">
        <x:v>Qisman mavjud</x:v>
      </x:c>
      <x:c r="N42" s="24" t="str">
        <x:v>Metallmaslar xossalarini taqqoslash paneli</x:v>
      </x:c>
      <x:c r="O42" s="24" t="str">
        <x:v>8.12 oltingugurt va tabiiy birikmalarni kuzatish bilan mavzuni amaliy qo‘llaydi.</x:v>
      </x:c>
      <x:c r="P42" s="24" t="str">
        <x:v>KimyoLab_v19.html</x:v>
      </x:c>
    </x:row>
    <x:row r="43">
      <x:c r="A43" s="24" t="n">
        <x:v>39</x:v>
      </x:c>
      <x:c r="B43" s="24" t="str">
        <x:v>8-sinf</x:v>
      </x:c>
      <x:c r="C43" s="24" t="str">
        <x:v>8.16</x:v>
      </x:c>
      <x:c r="D43" s="24" t="str">
        <x:v>Galogenlar: atom tuzilishi, xlor, HCl, xlorid kislota, ftor, brom va yod</x:v>
      </x:c>
      <x:c r="E43" s="24" t="str">
        <x:v>IV bob, 22-24, 27-28-§, 92-102 va 116-129-betlar</x:v>
      </x:c>
      <x:c r="F43" s="24" t="str">
        <x:v>Galogenlar qatori, rang, reaktivlik, xloridlar</x:v>
      </x:c>
      <x:c r="G43" s="24" t="str">
        <x:v>Guruh bo‘yicha interaktiv taqqoslash</x:v>
      </x:c>
      <x:c r="H43" s="24" t="str">
        <x:v>Galogenlar bo‘yicha yuqoridan pastga trendlarni ko‘rish</x:v>
      </x:c>
      <x:c r="I43" s="24" t="str">
        <x:v>Lab</x:v>
      </x:c>
      <x:c r="J43" s="24" t="str">
        <x:v>Simulyatsiya; Trenajyor</x:v>
      </x:c>
      <x:c r="K43" s="24" t="str">
        <x:v>8.1; 8.8; 8.9; 8.10; 8.11</x:v>
      </x:c>
      <x:c r="L43" s="24" t="str">
        <x:v>“Galogenlar” mavzusi bo‘yicha tajribaviy masalalar yechish; Xlorid kislota, galogenidlar va yod uchun sifat reaksiyalari; Tuproq eritmasi tarkibida xloridlar borligini aniqlash; Galogenlarning birikmalar eritmalaridan bir-birini siqib chiqarishi; Galogenlarning suvda va organik erituvchilarda erishi</x:v>
      </x:c>
      <x:c r="M43" s="24" t="str">
        <x:v>Mavjud</x:v>
      </x:c>
      <x:c r="N43" s="24" t="str">
        <x:v>Galogenlar trendi va sifat reaksiyalari xaritasi</x:v>
      </x:c>
      <x:c r="O43" s="24" t="str">
        <x:v>Mavjud besh amaliy ish galogenlar bo‘limini keng qamrab oladi.</x:v>
      </x:c>
      <x:c r="P43" s="24" t="str">
        <x:v>KimyoLab_v19.html</x:v>
      </x:c>
    </x:row>
    <x:row r="44">
      <x:c r="A44" s="24" t="n">
        <x:v>40</x:v>
      </x:c>
      <x:c r="B44" s="24" t="str">
        <x:v>8-sinf</x:v>
      </x:c>
      <x:c r="C44" s="24" t="str">
        <x:v>8.17</x:v>
      </x:c>
      <x:c r="D44" s="24" t="str">
        <x:v>Avogadro qonuni, molyar hajm va ekvivalent qonuni</x:v>
      </x:c>
      <x:c r="E44" s="24" t="str">
        <x:v>IV bob, 25-26-§, 103-115-betlar</x:v>
      </x:c>
      <x:c r="F44" s="24" t="str">
        <x:v>Gaz hajmi, mol, ekvivalent</x:v>
      </x:c>
      <x:c r="G44" s="24" t="str">
        <x:v>Grafik kalkulyator</x:v>
      </x:c>
      <x:c r="H44" s="24" t="str">
        <x:v>Gaz sharoitlari va modda miqdorini o‘zgartirish</x:v>
      </x:c>
      <x:c r="I44" s="24" t="str">
        <x:v>Hisoblash</x:v>
      </x:c>
      <x:c r="J44" s="24" t="str">
        <x:v>Simulyatsiya</x:v>
      </x:c>
      <x:c r="K44" s="24" t="str"/>
      <x:c r="L44" s="24" t="str"/>
      <x:c r="M44" s="24" t="str">
        <x:v>Yangi kerak</x:v>
      </x:c>
      <x:c r="N44" s="24" t="str">
        <x:v>Gaz hajmi–mol–ekvivalent kalkulyatori</x:v>
      </x:c>
      <x:c r="O44" s="24" t="str">
        <x:v>Mavzu asosan sonli qonunlar bilan ishlashga qaratilgan.</x:v>
      </x:c>
      <x:c r="P44" s="24" t="str">
        <x:v>KimyoLab_v19.html</x:v>
      </x:c>
    </x:row>
    <x:row r="45">
      <x:c r="A45" s="24" t="n">
        <x:v>41</x:v>
      </x:c>
      <x:c r="B45" s="24" t="str">
        <x:v>8-sinf</x:v>
      </x:c>
      <x:c r="C45" s="24" t="str">
        <x:v>8.18</x:v>
      </x:c>
      <x:c r="D45" s="24" t="str">
        <x:v>Kislorod guruhchasi va oltingugurt birikmalari</x:v>
      </x:c>
      <x:c r="E45" s="24" t="str">
        <x:v>V bob, 29-32-§, 130-140-betlar</x:v>
      </x:c>
      <x:c r="F45" s="24" t="str">
        <x:v>O, S, H2S, SO2, SO3, H2SO4</x:v>
      </x:c>
      <x:c r="G45" s="24" t="str">
        <x:v>Reaksiyalar tarmog‘i</x:v>
      </x:c>
      <x:c r="H45" s="24" t="str">
        <x:v>Birikmalar o‘rtasidagi o‘tishlarni bosib ko‘rish</x:v>
      </x:c>
      <x:c r="I45" s="24" t="str">
        <x:v>Lab</x:v>
      </x:c>
      <x:c r="J45" s="24" t="str">
        <x:v>Simulyatsiya; Trenajyor</x:v>
      </x:c>
      <x:c r="K45" s="24" t="str">
        <x:v>8.2; 8.12; 8.13</x:v>
      </x:c>
      <x:c r="L45" s="24" t="str">
        <x:v>“Oltingugurt” mavzusi bo‘yicha tajribaviy masalalar yechish; Oltingugurt va uning tabiiy birikmalari namunalari bilan tanishish; Turli eritmalarda sulfat ioni borligini aniqlash</x:v>
      </x:c>
      <x:c r="M45" s="24" t="str">
        <x:v>Mavjud</x:v>
      </x:c>
      <x:c r="N45" s="24" t="str">
        <x:v>Oltingugurt birikmalari reaksiyalar tarmog‘i</x:v>
      </x:c>
      <x:c r="O45" s="24" t="str">
        <x:v>8.2 tajribaviy masalalar, 8.12 namuna va 8.13 sulfat sifat reaksiyasi mavzuni bog‘laydi.</x:v>
      </x:c>
      <x:c r="P45" s="24" t="str">
        <x:v>KimyoLab_v19.html</x:v>
      </x:c>
    </x:row>
    <x:row r="46">
      <x:c r="A46" s="24" t="n">
        <x:v>42</x:v>
      </x:c>
      <x:c r="B46" s="24" t="str">
        <x:v>8-sinf</x:v>
      </x:c>
      <x:c r="C46" s="24" t="str">
        <x:v>8.19</x:v>
      </x:c>
      <x:c r="D46" s="24" t="str">
        <x:v>Kimyoviy reaksiya tezligi</x:v>
      </x:c>
      <x:c r="E46" s="24" t="str">
        <x:v>V bob, 33-§, 141-143-betlar</x:v>
      </x:c>
      <x:c r="F46" s="24" t="str">
        <x:v>Tezlik, harorat, konsentratsiya, sirt maydoni</x:v>
      </x:c>
      <x:c r="G46" s="24" t="str">
        <x:v>Interaktiv grafik</x:v>
      </x:c>
      <x:c r="H46" s="24" t="str">
        <x:v>Omillar slayderlari bilan grafikni o‘zgartirish</x:v>
      </x:c>
      <x:c r="I46" s="24" t="str">
        <x:v>Simulyatsiya</x:v>
      </x:c>
      <x:c r="J46" s="24" t="str">
        <x:v>Lab</x:v>
      </x:c>
      <x:c r="K46" s="24" t="str"/>
      <x:c r="L46" s="24" t="str"/>
      <x:c r="M46" s="24" t="str">
        <x:v>Yangi kerak</x:v>
      </x:c>
      <x:c r="N46" s="24" t="str">
        <x:v>Reaksiya tezligiga T, konsentratsiya va sirt ta’siri simulyatsiyasi; oddiy virtual tajriba</x:v>
      </x:c>
      <x:c r="O46" s="24" t="str">
        <x:v>Katalogda mos bevosita amaliy mashg‘ulot yo‘q; yangi tajriba kerak.</x:v>
      </x:c>
      <x:c r="P46" s="24" t="str">
        <x:v>KimyoLab_v19.html</x:v>
      </x:c>
    </x:row>
    <x:row r="47">
      <x:c r="A47" s="24" t="n">
        <x:v>43</x:v>
      </x:c>
      <x:c r="B47" s="24" t="str">
        <x:v>8-sinf</x:v>
      </x:c>
      <x:c r="C47" s="24" t="str">
        <x:v>8.20</x:v>
      </x:c>
      <x:c r="D47" s="24" t="str">
        <x:v>Kimyoviy muvozanat</x:v>
      </x:c>
      <x:c r="E47" s="24" t="str">
        <x:v>V bob, 34-§, 144-146-betlar</x:v>
      </x:c>
      <x:c r="F47" s="24" t="str">
        <x:v>Qaytar reaksiya, muvozanat, Le-Shatele prinsipi</x:v>
      </x:c>
      <x:c r="G47" s="24" t="str">
        <x:v>Dinamik muvozanat simulyatori</x:v>
      </x:c>
      <x:c r="H47" s="24" t="str">
        <x:v>Bosim, harorat va konsentratsiya ta’sirini ko‘rish</x:v>
      </x:c>
      <x:c r="I47" s="24" t="str">
        <x:v>Simulyatsiya</x:v>
      </x:c>
      <x:c r="J47" s="24" t="str">
        <x:v>Case</x:v>
      </x:c>
      <x:c r="K47" s="24" t="str"/>
      <x:c r="L47" s="24" t="str"/>
      <x:c r="M47" s="24" t="str">
        <x:v>Yangi kerak</x:v>
      </x:c>
      <x:c r="N47" s="24" t="str">
        <x:v>Dinamik muvozanat va Le-Shatele simulyatori</x:v>
      </x:c>
      <x:c r="O47" s="24" t="str">
        <x:v>Muvozanatni zarracha va grafik darajada ko‘rsatish eng mos.</x:v>
      </x:c>
      <x:c r="P47" s="24" t="str">
        <x:v>KimyoLab_v19.html</x:v>
      </x:c>
    </x:row>
    <x:row r="48">
      <x:c r="A48" s="24" t="n">
        <x:v>44</x:v>
      </x:c>
      <x:c r="B48" s="24" t="str">
        <x:v>8-sinf</x:v>
      </x:c>
      <x:c r="C48" s="24" t="str">
        <x:v>8.21</x:v>
      </x:c>
      <x:c r="D48" s="24" t="str">
        <x:v>Sulfat kislota ishlab chiqarish</x:v>
      </x:c>
      <x:c r="E48" s="24" t="str">
        <x:v>V bob, 35-§, 147-155-betlar</x:v>
      </x:c>
      <x:c r="F48" s="24" t="str">
        <x:v>Piritni kuydirish, kontakt apparati, oleum</x:v>
      </x:c>
      <x:c r="G48" s="24" t="str">
        <x:v>Sanoat jarayoni animatsiyasi</x:v>
      </x:c>
      <x:c r="H48" s="24" t="str">
        <x:v>Bosqichlarni texnologik zanjirga joylashtirish</x:v>
      </x:c>
      <x:c r="I48" s="24" t="str">
        <x:v>Case</x:v>
      </x:c>
      <x:c r="J48" s="24" t="str">
        <x:v>Simulyatsiya</x:v>
      </x:c>
      <x:c r="K48" s="24" t="str">
        <x:v>8.2</x:v>
      </x:c>
      <x:c r="L48" s="24" t="str">
        <x:v>“Oltingugurt” mavzusi bo‘yicha tajribaviy masalalar yechish</x:v>
      </x:c>
      <x:c r="M48" s="24" t="str">
        <x:v>Qisman mavjud</x:v>
      </x:c>
      <x:c r="N48" s="24" t="str">
        <x:v>Kontakt usuli texnologik zanjiri</x:v>
      </x:c>
      <x:c r="O48" s="24" t="str">
        <x:v>8.2 oltingugurt kimyosini qo‘llab-quvvatlaydi, ishlab chiqarish qismi case/simulyatsiya bo‘lishi kerak.</x:v>
      </x:c>
      <x:c r="P48" s="24" t="str">
        <x:v>KimyoLab_v19.html</x:v>
      </x:c>
    </x:row>
    <x:row r="49">
      <x:c r="A49" s="24" t="n">
        <x:v>45</x:v>
      </x:c>
      <x:c r="B49" s="24" t="str">
        <x:v>8-sinf</x:v>
      </x:c>
      <x:c r="C49" s="24" t="str">
        <x:v>8.22</x:v>
      </x:c>
      <x:c r="D49" s="24" t="str">
        <x:v>Azot, ammiak va azotning kislorodli birikmalari</x:v>
      </x:c>
      <x:c r="E49" s="24" t="str">
        <x:v>VI bob, 36-39-§, 157-173-betlar</x:v>
      </x:c>
      <x:c r="F49" s="24" t="str">
        <x:v>N2, NH3, NOx, HNO3</x:v>
      </x:c>
      <x:c r="G49" s="24" t="str">
        <x:v>Reaksiyalar xaritasi va molekula modeli</x:v>
      </x:c>
      <x:c r="H49" s="24" t="str">
        <x:v>Birikmalar o‘rtasidagi o‘zgarishlarni ochish</x:v>
      </x:c>
      <x:c r="I49" s="24" t="str">
        <x:v>Lab</x:v>
      </x:c>
      <x:c r="J49" s="24" t="str">
        <x:v>Simulyatsiya; Trenajyor</x:v>
      </x:c>
      <x:c r="K49" s="24" t="str">
        <x:v>8.3; 8.4; 8.14</x:v>
      </x:c>
      <x:c r="L49" s="24" t="str">
        <x:v>Ammiak olish va u bilan tajribalar o‘tkazish; “Azot” guruhchasi elementlari mavzusiga oid tajribaviy masalalar; Ammoniy tuziga so‘ndirilgan ohak ta’sir ettirib ammiak olish</x:v>
      </x:c>
      <x:c r="M49" s="24" t="str">
        <x:v>Mavjud</x:v>
      </x:c>
      <x:c r="N49" s="24" t="str">
        <x:v>Azot–ammiak–NOx reaksiyalar xaritasi</x:v>
      </x:c>
      <x:c r="O49" s="24" t="str">
        <x:v>Ammiak olish va azot guruhchasi tajribaviy ishlari bevosita mos.</x:v>
      </x:c>
      <x:c r="P49" s="24" t="str">
        <x:v>KimyoLab_v19.html</x:v>
      </x:c>
    </x:row>
    <x:row r="50">
      <x:c r="A50" s="24" t="n">
        <x:v>46</x:v>
      </x:c>
      <x:c r="B50" s="24" t="str">
        <x:v>8-sinf</x:v>
      </x:c>
      <x:c r="C50" s="24" t="str">
        <x:v>8.23</x:v>
      </x:c>
      <x:c r="D50" s="24" t="str">
        <x:v>Fosfor va uning kislorodli birikmalari</x:v>
      </x:c>
      <x:c r="E50" s="24" t="str">
        <x:v>VI bob, 40-41-§, 174-184-betlar</x:v>
      </x:c>
      <x:c r="F50" s="24" t="str">
        <x:v>P allotropiyasi, oksidlar, fosfat kislota</x:v>
      </x:c>
      <x:c r="G50" s="24" t="str">
        <x:v>3D model va jarayon xaritasi</x:v>
      </x:c>
      <x:c r="H50" s="24" t="str">
        <x:v>Oq va qizil fosforni taqqoslash</x:v>
      </x:c>
      <x:c r="I50" s="24" t="str">
        <x:v>Lab</x:v>
      </x:c>
      <x:c r="J50" s="24" t="str">
        <x:v>Simulyatsiya</x:v>
      </x:c>
      <x:c r="K50" s="24" t="str">
        <x:v>8.4</x:v>
      </x:c>
      <x:c r="L50" s="24" t="str">
        <x:v>“Azot” guruhchasi elementlari mavzusiga oid tajribaviy masalalar</x:v>
      </x:c>
      <x:c r="M50" s="24" t="str">
        <x:v>Qisman mavjud</x:v>
      </x:c>
      <x:c r="N50" s="24" t="str">
        <x:v>Fosfor allotropiyasi va oksidlanish modeli</x:v>
      </x:c>
      <x:c r="O50" s="24" t="str">
        <x:v>8.4 azot guruhchasi elementlari amaliy masalalari fosforni ham qamrab oladi.</x:v>
      </x:c>
      <x:c r="P50" s="24" t="str">
        <x:v>KimyoLab_v19.html</x:v>
      </x:c>
    </x:row>
    <x:row r="51">
      <x:c r="A51" s="24" t="n">
        <x:v>47</x:v>
      </x:c>
      <x:c r="B51" s="24" t="str">
        <x:v>8-sinf</x:v>
      </x:c>
      <x:c r="C51" s="24" t="str">
        <x:v>8.24</x:v>
      </x:c>
      <x:c r="D51" s="24" t="str">
        <x:v>Mineral o‘g‘itlar va biogen elementlar</x:v>
      </x:c>
      <x:c r="E51" s="24" t="str">
        <x:v>VI bob, 42-44-§, 185-199-betlar</x:v>
      </x:c>
      <x:c r="F51" s="24" t="str">
        <x:v>Azotli, fosforli, kaliyli o‘g‘itlar; biogen elementlar</x:v>
      </x:c>
      <x:c r="G51" s="24" t="str">
        <x:v>O‘simlik modeli va o‘g‘it xaritasi</x:v>
      </x:c>
      <x:c r="H51" s="24" t="str">
        <x:v>Element yetishmovchiligi belgilarini aniqlash</x:v>
      </x:c>
      <x:c r="I51" s="24" t="str">
        <x:v>Lab</x:v>
      </x:c>
      <x:c r="J51" s="24" t="str">
        <x:v>Case; Simulyatsiya</x:v>
      </x:c>
      <x:c r="K51" s="24" t="str">
        <x:v>8.5; 8.15</x:v>
      </x:c>
      <x:c r="L51" s="24" t="str">
        <x:v>Mineral o‘g‘itlarni aniqlash; Mineral o‘g‘itlar namunalari bilan tanishish</x:v>
      </x:c>
      <x:c r="M51" s="24" t="str">
        <x:v>Mavjud</x:v>
      </x:c>
      <x:c r="N51" s="24" t="str">
        <x:v>O‘g‘it tanlash va o‘simlik yetishmovchiligi case’i</x:v>
      </x:c>
      <x:c r="O51" s="24" t="str">
        <x:v>8.5 mineral o‘g‘itlarni aniqlash, 8.15 namunalari bilan tanishish bevosita mos.</x:v>
      </x:c>
      <x:c r="P51" s="24" t="str">
        <x:v>KimyoLab_v19.html</x:v>
      </x:c>
    </x:row>
    <x:row r="52">
      <x:c r="A52" s="24" t="n">
        <x:v>48</x:v>
      </x:c>
      <x:c r="B52" s="24" t="str">
        <x:v>9-sinf</x:v>
      </x:c>
      <x:c r="C52" s="24" t="str">
        <x:v>9.01</x:v>
      </x:c>
      <x:c r="D52" s="24" t="str">
        <x:v>Davriy sistema, davriy qonun va bog‘lanish turlarini takrorlash</x:v>
      </x:c>
      <x:c r="E52" s="24" t="str">
        <x:v>I bob, 1-2-§, 5-19-betlar</x:v>
      </x:c>
      <x:c r="F52" s="24" t="str">
        <x:v>Davriy qonun, elektron tuzilish, bog‘lanish</x:v>
      </x:c>
      <x:c r="G52" s="24" t="str">
        <x:v>Takrorlash paneli</x:v>
      </x:c>
      <x:c r="H52" s="24" t="str">
        <x:v>Davriy jadvaldan bog‘lanish turigacha yo‘l xaritasi</x:v>
      </x:c>
      <x:c r="I52" s="24" t="str">
        <x:v>Simulyatsiya</x:v>
      </x:c>
      <x:c r="J52" s="24" t="str">
        <x:v>Trenajyor</x:v>
      </x:c>
      <x:c r="K52" s="24" t="str"/>
      <x:c r="L52" s="24" t="str"/>
      <x:c r="M52" s="24" t="str">
        <x:v>Yangi kerak</x:v>
      </x:c>
      <x:c r="N52" s="24" t="str">
        <x:v>Davriy jadval–elektron tuzilish–bog‘lanish takrorlash paneli</x:v>
      </x:c>
      <x:c r="O52" s="24" t="str">
        <x:v>Takrorlash mavzusi uchun integratsion model/trenajyor zarur.</x:v>
      </x:c>
      <x:c r="P52" s="24" t="str">
        <x:v>KimyoLab_v19.html</x:v>
      </x:c>
    </x:row>
    <x:row r="53">
      <x:c r="A53" s="24" t="n">
        <x:v>49</x:v>
      </x:c>
      <x:c r="B53" s="24" t="str">
        <x:v>9-sinf</x:v>
      </x:c>
      <x:c r="C53" s="24" t="str">
        <x:v>9.02</x:v>
      </x:c>
      <x:c r="D53" s="24" t="str">
        <x:v>Elektrolitlar va noelektrolitlar</x:v>
      </x:c>
      <x:c r="E53" s="24" t="str">
        <x:v>II bob, 3-§, 20-23-betlar</x:v>
      </x:c>
      <x:c r="F53" s="24" t="str">
        <x:v>Elektr o‘tkazuvchanlik, ionlar</x:v>
      </x:c>
      <x:c r="G53" s="24" t="str">
        <x:v>Lampochkali eritma simulyatori</x:v>
      </x:c>
      <x:c r="H53" s="24" t="str">
        <x:v>Moddani suvga qo‘shib o‘tkazuvchanlikni ko‘rish</x:v>
      </x:c>
      <x:c r="I53" s="24" t="str">
        <x:v>Simulyatsiya</x:v>
      </x:c>
      <x:c r="J53" s="24" t="str">
        <x:v>Lab</x:v>
      </x:c>
      <x:c r="K53" s="24" t="str"/>
      <x:c r="L53" s="24" t="str"/>
      <x:c r="M53" s="24" t="str">
        <x:v>Yangi kerak</x:v>
      </x:c>
      <x:c r="N53" s="24" t="str">
        <x:v>Elektrolit/noelektrolit o‘tkazuvchanlik virtual tajribasi</x:v>
      </x:c>
      <x:c r="O53" s="24" t="str">
        <x:v>Mos maxsus amaliy ish katalogda yo‘q; lampochkali simulyator kerak.</x:v>
      </x:c>
      <x:c r="P53" s="24" t="str">
        <x:v>KimyoLab_v19.html</x:v>
      </x:c>
    </x:row>
    <x:row r="54">
      <x:c r="A54" s="24" t="n">
        <x:v>50</x:v>
      </x:c>
      <x:c r="B54" s="24" t="str">
        <x:v>9-sinf</x:v>
      </x:c>
      <x:c r="C54" s="24" t="str">
        <x:v>9.03</x:v>
      </x:c>
      <x:c r="D54" s="24" t="str">
        <x:v>Kislota, ishqor va tuzlarning dissotsiatsiyalanishi</x:v>
      </x:c>
      <x:c r="E54" s="24" t="str">
        <x:v>II bob, 4-§, 24-25-betlar</x:v>
      </x:c>
      <x:c r="F54" s="24" t="str">
        <x:v>Ionlarga ajralish, formulalar</x:v>
      </x:c>
      <x:c r="G54" s="24" t="str">
        <x:v>Dissotsiatsiya animatsiyasi</x:v>
      </x:c>
      <x:c r="H54" s="24" t="str">
        <x:v>Molekulalarni suvda ionlarga ajratish</x:v>
      </x:c>
      <x:c r="I54" s="24" t="str">
        <x:v>Simulyatsiya</x:v>
      </x:c>
      <x:c r="J54" s="24" t="str">
        <x:v>Trenajyor</x:v>
      </x:c>
      <x:c r="K54" s="24" t="str"/>
      <x:c r="L54" s="24" t="str"/>
      <x:c r="M54" s="24" t="str">
        <x:v>Yangi kerak</x:v>
      </x:c>
      <x:c r="N54" s="24" t="str">
        <x:v>Dissotsiatsiya animatsiyasi va ion yozuv trenajyori</x:v>
      </x:c>
      <x:c r="O54" s="24" t="str">
        <x:v>Molekula→ion o‘tishini model va yozuv bilan mashq qilish kerak.</x:v>
      </x:c>
      <x:c r="P54" s="24" t="str">
        <x:v>KimyoLab_v19.html</x:v>
      </x:c>
    </x:row>
    <x:row r="55">
      <x:c r="A55" s="24" t="n">
        <x:v>51</x:v>
      </x:c>
      <x:c r="B55" s="24" t="str">
        <x:v>9-sinf</x:v>
      </x:c>
      <x:c r="C55" s="24" t="str">
        <x:v>9.04</x:v>
      </x:c>
      <x:c r="D55" s="24" t="str">
        <x:v>Kuchli va kuchsiz elektrolitlar. Dissotsiatsiyalanish darajasi</x:v>
      </x:c>
      <x:c r="E55" s="24" t="str">
        <x:v>II bob, 5-§, 26-28-betlar</x:v>
      </x:c>
      <x:c r="F55" s="24" t="str">
        <x:v>α, kuchli va kuchsiz elektrolit</x:v>
      </x:c>
      <x:c r="G55" s="24" t="str">
        <x:v>Zarrachalar soni simulyatsiyasi</x:v>
      </x:c>
      <x:c r="H55" s="24" t="str">
        <x:v>Ionlangan zarrachalar ulushini slayder bilan ko‘rish</x:v>
      </x:c>
      <x:c r="I55" s="24" t="str">
        <x:v>Simulyatsiya</x:v>
      </x:c>
      <x:c r="J55" s="24" t="str">
        <x:v>Hisoblash</x:v>
      </x:c>
      <x:c r="K55" s="24" t="str"/>
      <x:c r="L55" s="24" t="str"/>
      <x:c r="M55" s="24" t="str">
        <x:v>Yangi kerak</x:v>
      </x:c>
      <x:c r="N55" s="24" t="str">
        <x:v>Dissotsiatsiyalanish darajasi slayderi va α hisoblash</x:v>
      </x:c>
      <x:c r="O55" s="24" t="str">
        <x:v>Kuchli/kuchsiz elektrolitni miqdoriy va vizual taqqoslash.</x:v>
      </x:c>
      <x:c r="P55" s="24" t="str">
        <x:v>KimyoLab_v19.html</x:v>
      </x:c>
    </x:row>
    <x:row r="56">
      <x:c r="A56" s="24" t="n">
        <x:v>52</x:v>
      </x:c>
      <x:c r="B56" s="24" t="str">
        <x:v>9-sinf</x:v>
      </x:c>
      <x:c r="C56" s="24" t="str">
        <x:v>9.05</x:v>
      </x:c>
      <x:c r="D56" s="24" t="str">
        <x:v>Ion almashinish reaksiyalari</x:v>
      </x:c>
      <x:c r="E56" s="24" t="str">
        <x:v>II bob, 6-§, 29-31-betlar</x:v>
      </x:c>
      <x:c r="F56" s="24" t="str">
        <x:v>Cho‘kma, gaz, suv hosil bo‘lishi</x:v>
      </x:c>
      <x:c r="G56" s="24" t="str">
        <x:v>Ion tenglama konstruktori</x:v>
      </x:c>
      <x:c r="H56" s="24" t="str">
        <x:v>Ionlarni birlashtirib qisqa ionli tenglama tuzish</x:v>
      </x:c>
      <x:c r="I56" s="24" t="str">
        <x:v>Trenajyor</x:v>
      </x:c>
      <x:c r="J56" s="24" t="str">
        <x:v>Lab; Simulyatsiya</x:v>
      </x:c>
      <x:c r="K56" s="24" t="str">
        <x:v>9.4; 9.9; 9.13; 9.15; 9.16; 9.18</x:v>
      </x:c>
      <x:c r="L56" s="24" t="str">
        <x:v>Karbonatlar va gidrokarbonatlarning xossalari hamda o‘zaro aylanishi; Tuz eritmalari bilan metallarning o‘zaro ta’siri; Alyuminiy gidroksidni olish va uning xossalari; Mis(II)-gidroksidni olish va xossalarini tekshirish; Rux gidroksidni olish va amfoter xossalarini tekshirish; Temir(II) va temir(III)-gidroksidlarni olish</x:v>
      </x:c>
      <x:c r="M56" s="24" t="str">
        <x:v>Mavjud</x:v>
      </x:c>
      <x:c r="N56" s="24" t="str">
        <x:v>Molekulyar→to‘liq ionli→qisqa ionli tenglama konstruktori</x:v>
      </x:c>
      <x:c r="O56" s="24" t="str">
        <x:v>Ko‘plab cho‘kma/almashtirish reaksiyalari ion almashinishga real dalil beradi.</x:v>
      </x:c>
      <x:c r="P56" s="24" t="str">
        <x:v>KimyoLab_v19.html</x:v>
      </x:c>
    </x:row>
    <x:row r="57">
      <x:c r="A57" s="24" t="n">
        <x:v>53</x:v>
      </x:c>
      <x:c r="B57" s="24" t="str">
        <x:v>9-sinf</x:v>
      </x:c>
      <x:c r="C57" s="24" t="str">
        <x:v>9.06</x:v>
      </x:c>
      <x:c r="D57" s="24" t="str">
        <x:v>Tuzlarning gidrolizi</x:v>
      </x:c>
      <x:c r="E57" s="24" t="str">
        <x:v>II bob, 7-§, 32-41-betlar</x:v>
      </x:c>
      <x:c r="F57" s="24" t="str">
        <x:v>Gidroliz, eritma muhiti, indikator</x:v>
      </x:c>
      <x:c r="G57" s="24" t="str">
        <x:v>pH animatsiyasi</x:v>
      </x:c>
      <x:c r="H57" s="24" t="str">
        <x:v>Tuz tanlab muhitni va ion reaksiyasini ko‘rish</x:v>
      </x:c>
      <x:c r="I57" s="24" t="str">
        <x:v>Lab</x:v>
      </x:c>
      <x:c r="J57" s="24" t="str">
        <x:v>Simulyatsiya; Trenajyor</x:v>
      </x:c>
      <x:c r="K57" s="24" t="str">
        <x:v>9.14</x:v>
      </x:c>
      <x:c r="L57" s="24" t="str">
        <x:v>Alyuminiy tuzlari eritmalarining indikatorlarga ta’siri</x:v>
      </x:c>
      <x:c r="M57" s="24" t="str">
        <x:v>Mavjud</x:v>
      </x:c>
      <x:c r="N57" s="24" t="str">
        <x:v>Tuz tanlab pH va gidroliz ion tenglamasini ko‘rsatish</x:v>
      </x:c>
      <x:c r="O57" s="24" t="str">
        <x:v>9.14 alyuminiy tuzi eritmasining indikatorga ta’sirini kuzatadi.</x:v>
      </x:c>
      <x:c r="P57" s="24" t="str">
        <x:v>KimyoLab_v19.html</x:v>
      </x:c>
    </x:row>
    <x:row r="58">
      <x:c r="A58" s="24" t="n">
        <x:v>54</x:v>
      </x:c>
      <x:c r="B58" s="24" t="str">
        <x:v>9-sinf</x:v>
      </x:c>
      <x:c r="C58" s="24" t="str">
        <x:v>9.07</x:v>
      </x:c>
      <x:c r="D58" s="24" t="str">
        <x:v>Uglerod guruhidagi elementlarning umumiy tavsifi</x:v>
      </x:c>
      <x:c r="E58" s="24" t="str">
        <x:v>III bob, 8-§, 42-46-betlar</x:v>
      </x:c>
      <x:c r="F58" s="24" t="str">
        <x:v>C, Si, Ge, Sn, Pb; guruh trendi</x:v>
      </x:c>
      <x:c r="G58" s="24" t="str">
        <x:v>Guruh bo‘yicha taqqoslash paneli</x:v>
      </x:c>
      <x:c r="H58" s="24" t="str">
        <x:v>Element xossalarining guruh bo‘ylab o‘zgarishini ko‘rish</x:v>
      </x:c>
      <x:c r="I58" s="24" t="str">
        <x:v>Simulyatsiya</x:v>
      </x:c>
      <x:c r="J58" s="24" t="str">
        <x:v>Lab</x:v>
      </x:c>
      <x:c r="K58" s="24" t="str">
        <x:v>9.1; 9.4; 9.5; 9.6</x:v>
      </x:c>
      <x:c r="L58" s="24" t="str">
        <x:v>Uglerod(IV)-oksid hosil qilish va uning xossalari bilan tanishish; Karbonatlar va gidrokarbonatlarning xossalari hamda o‘zaro aylanishi; Tabiiy silikatlar namunalari bilan tanishish; Shisha turlari va shishadan yasalgan mahsulotlar bilan tanishish</x:v>
      </x:c>
      <x:c r="M58" s="24" t="str">
        <x:v>Qisman mavjud</x:v>
      </x:c>
      <x:c r="N58" s="24" t="str">
        <x:v>Uglerod guruhi trendi va materiallar case’i</x:v>
      </x:c>
      <x:c r="O58" s="24" t="str">
        <x:v>Uglerod/karbonatlar/silikatlar bo‘yicha mavjud amaliyotlar mavzuni qo‘llab-quvvatlaydi.</x:v>
      </x:c>
      <x:c r="P58" s="24" t="str">
        <x:v>KimyoLab_v19.html</x:v>
      </x:c>
    </x:row>
    <x:row r="59">
      <x:c r="A59" s="24" t="n">
        <x:v>55</x:v>
      </x:c>
      <x:c r="B59" s="24" t="str">
        <x:v>9-sinf</x:v>
      </x:c>
      <x:c r="C59" s="24" t="str">
        <x:v>9.08</x:v>
      </x:c>
      <x:c r="D59" s="24" t="str">
        <x:v>Uglerodning allotropiyasi va xossalari</x:v>
      </x:c>
      <x:c r="E59" s="24" t="str">
        <x:v>III bob, 9-§, 47-49-betlar</x:v>
      </x:c>
      <x:c r="F59" s="24" t="str">
        <x:v>Olmos, grafit, ko‘mir, fullerenga kirish</x:v>
      </x:c>
      <x:c r="G59" s="24" t="str">
        <x:v>3D tuzilma modeli</x:v>
      </x:c>
      <x:c r="H59" s="24" t="str">
        <x:v>Panjara tuzilishini aylantirib xossalar bilan bog‘lash</x:v>
      </x:c>
      <x:c r="I59" s="24" t="str">
        <x:v>Simulyatsiya</x:v>
      </x:c>
      <x:c r="J59" s="24" t="str">
        <x:v>Case</x:v>
      </x:c>
      <x:c r="K59" s="24" t="str"/>
      <x:c r="L59" s="24" t="str"/>
      <x:c r="M59" s="24" t="str">
        <x:v>Yangi kerak</x:v>
      </x:c>
      <x:c r="N59" s="24" t="str">
        <x:v>Grafit–olmos–fulleren 3D tuzilma taqqoslash</x:v>
      </x:c>
      <x:c r="O59" s="24" t="str">
        <x:v>Allotropiya uchun model birlamchi; katalogda maxsus laboratoriya yo‘q.</x:v>
      </x:c>
      <x:c r="P59" s="24" t="str">
        <x:v>KimyoLab_v19.html</x:v>
      </x:c>
    </x:row>
    <x:row r="60">
      <x:c r="A60" s="24" t="n">
        <x:v>56</x:v>
      </x:c>
      <x:c r="B60" s="24" t="str">
        <x:v>9-sinf</x:v>
      </x:c>
      <x:c r="C60" s="24" t="str">
        <x:v>9.09</x:v>
      </x:c>
      <x:c r="D60" s="24" t="str">
        <x:v>Uglerodning eng muhim birikmalari</x:v>
      </x:c>
      <x:c r="E60" s="24" t="str">
        <x:v>III bob, 10-11-§, 50-60-betlar</x:v>
      </x:c>
      <x:c r="F60" s="24" t="str">
        <x:v>CO, CO2, H2CO3, karbonatlar</x:v>
      </x:c>
      <x:c r="G60" s="24" t="str">
        <x:v>Reaksiyalar tarmog‘i</x:v>
      </x:c>
      <x:c r="H60" s="24" t="str">
        <x:v>Birikma tanlab olinishi va xossalarini ochish</x:v>
      </x:c>
      <x:c r="I60" s="24" t="str">
        <x:v>Lab</x:v>
      </x:c>
      <x:c r="J60" s="24" t="str">
        <x:v>Simulyatsiya; Trenajyor</x:v>
      </x:c>
      <x:c r="K60" s="24" t="str">
        <x:v>9.1; 9.4</x:v>
      </x:c>
      <x:c r="L60" s="24" t="str">
        <x:v>Uglerod(IV)-oksid hosil qilish va uning xossalari bilan tanishish; Karbonatlar va gidrokarbonatlarning xossalari hamda o‘zaro aylanishi</x:v>
      </x:c>
      <x:c r="M60" s="24" t="str">
        <x:v>Mavjud</x:v>
      </x:c>
      <x:c r="N60" s="24" t="str">
        <x:v>CO2 va karbonatlar reaksiyalar tarmog‘i</x:v>
      </x:c>
      <x:c r="O60" s="24" t="str">
        <x:v>9.1 va 9.4 uglerodning asosiy birikmalarini bevosita tajribada ko‘rsatadi.</x:v>
      </x:c>
      <x:c r="P60" s="24" t="str">
        <x:v>KimyoLab_v19.html</x:v>
      </x:c>
    </x:row>
    <x:row r="61">
      <x:c r="A61" s="24" t="n">
        <x:v>57</x:v>
      </x:c>
      <x:c r="B61" s="24" t="str">
        <x:v>9-sinf</x:v>
      </x:c>
      <x:c r="C61" s="24" t="str">
        <x:v>9.10</x:v>
      </x:c>
      <x:c r="D61" s="24" t="str">
        <x:v>Kremniy va silikat sanoati</x:v>
      </x:c>
      <x:c r="E61" s="24" t="str">
        <x:v>III bob, 12-14-§, 61-70-betlar</x:v>
      </x:c>
      <x:c r="F61" s="24" t="str">
        <x:v>Si, SiO2, silikat, shisha, sement, keramika</x:v>
      </x:c>
      <x:c r="G61" s="24" t="str">
        <x:v>Sanoat jarayoni va materiallar galereyasi</x:v>
      </x:c>
      <x:c r="H61" s="24" t="str">
        <x:v>Xomashyodan mahsulotgacha zanjir tuzish</x:v>
      </x:c>
      <x:c r="I61" s="24" t="str">
        <x:v>Lab</x:v>
      </x:c>
      <x:c r="J61" s="24" t="str">
        <x:v>Case; Simulyatsiya</x:v>
      </x:c>
      <x:c r="K61" s="24" t="str">
        <x:v>9.5; 9.6</x:v>
      </x:c>
      <x:c r="L61" s="24" t="str">
        <x:v>Tabiiy silikatlar namunalari bilan tanishish; Shisha turlari va shishadan yasalgan mahsulotlar bilan tanishish</x:v>
      </x:c>
      <x:c r="M61" s="24" t="str">
        <x:v>Mavjud</x:v>
      </x:c>
      <x:c r="N61" s="24" t="str">
        <x:v>Silikat sanoati xomashyo→shisha mahsulot zanjiri</x:v>
      </x:c>
      <x:c r="O61" s="24" t="str">
        <x:v>Tabiiy silikat va shisha namunalarini kuzatish bevosita mos.</x:v>
      </x:c>
      <x:c r="P61" s="24" t="str">
        <x:v>KimyoLab_v19.html</x:v>
      </x:c>
    </x:row>
    <x:row r="62">
      <x:c r="A62" s="24" t="n">
        <x:v>58</x:v>
      </x:c>
      <x:c r="B62" s="24" t="str">
        <x:v>9-sinf</x:v>
      </x:c>
      <x:c r="C62" s="24" t="str">
        <x:v>9.11</x:v>
      </x:c>
      <x:c r="D62" s="24" t="str">
        <x:v>Metallarning tarqalishi, olinishi va ishlatilishi</x:v>
      </x:c>
      <x:c r="E62" s="24" t="str">
        <x:v>IV bob, 15-§, 71-73-betlar</x:v>
      </x:c>
      <x:c r="F62" s="24" t="str">
        <x:v>Ruda, qaytarilish, metallurgiya</x:v>
      </x:c>
      <x:c r="G62" s="24" t="str">
        <x:v>Ruda-metall jarayoni xaritasi</x:v>
      </x:c>
      <x:c r="H62" s="24" t="str">
        <x:v>Rudani tanlab olish usulini ko‘rish</x:v>
      </x:c>
      <x:c r="I62" s="24" t="str">
        <x:v>Case</x:v>
      </x:c>
      <x:c r="J62" s="24" t="str">
        <x:v>Simulyatsiya; Lab</x:v>
      </x:c>
      <x:c r="K62" s="24" t="str">
        <x:v>9.3</x:v>
      </x:c>
      <x:c r="L62" s="24" t="str">
        <x:v>“Metallar” mavzusi bo‘yicha tajribaviy masalalar</x:v>
      </x:c>
      <x:c r="M62" s="24" t="str">
        <x:v>Qisman mavjud</x:v>
      </x:c>
      <x:c r="N62" s="24" t="str">
        <x:v>Ruda→metall olish usuli tanlash case’i</x:v>
      </x:c>
      <x:c r="O62" s="24" t="str">
        <x:v>9.3 metallar bo‘yicha tajribaviy masalalar qo‘llab-quvvatlaydi; sanoat jarayoni case sifatida kerak.</x:v>
      </x:c>
      <x:c r="P62" s="24" t="str">
        <x:v>KimyoLab_v19.html</x:v>
      </x:c>
    </x:row>
    <x:row r="63">
      <x:c r="A63" s="24" t="n">
        <x:v>59</x:v>
      </x:c>
      <x:c r="B63" s="24" t="str">
        <x:v>9-sinf</x:v>
      </x:c>
      <x:c r="C63" s="24" t="str">
        <x:v>9.12</x:v>
      </x:c>
      <x:c r="D63" s="24" t="str">
        <x:v>Qotishmalar</x:v>
      </x:c>
      <x:c r="E63" s="24" t="str">
        <x:v>IV bob, 16-§, 74-76-betlar</x:v>
      </x:c>
      <x:c r="F63" s="24" t="str">
        <x:v>Qotishma, tarkib, xossa</x:v>
      </x:c>
      <x:c r="G63" s="24" t="str">
        <x:v>Mikrotuzilma vizuali</x:v>
      </x:c>
      <x:c r="H63" s="24" t="str">
        <x:v>Tarkib foizini o‘zgartirib xossadagi farqni ko‘rish</x:v>
      </x:c>
      <x:c r="I63" s="24" t="str">
        <x:v>Lab</x:v>
      </x:c>
      <x:c r="J63" s="24" t="str">
        <x:v>Simulyatsiya</x:v>
      </x:c>
      <x:c r="K63" s="24" t="str">
        <x:v>9.8; 9.12; 9.20</x:v>
      </x:c>
      <x:c r="L63" s="24" t="str">
        <x:v>Qotishmalar namunalari bilan tanishish; Alyuminiy namunalari va qotishmalari bilan tanishish; Cho‘yan va po‘lat namunalari bilan tanishish</x:v>
      </x:c>
      <x:c r="M63" s="24" t="str">
        <x:v>Mavjud</x:v>
      </x:c>
      <x:c r="N63" s="24" t="str">
        <x:v>Qotishma tarkibi–mikrotuzilma–xossa simulyatsiyasi</x:v>
      </x:c>
      <x:c r="O63" s="24" t="str">
        <x:v>Qotishma namunalarini ko‘rish va Al/cho‘yan/po‘lat misollari bilan bog‘lanadi.</x:v>
      </x:c>
      <x:c r="P63" s="24" t="str">
        <x:v>KimyoLab_v19.html</x:v>
      </x:c>
    </x:row>
    <x:row r="64">
      <x:c r="A64" s="24" t="n">
        <x:v>60</x:v>
      </x:c>
      <x:c r="B64" s="24" t="str">
        <x:v>9-sinf</x:v>
      </x:c>
      <x:c r="C64" s="24" t="str">
        <x:v>9.13</x:v>
      </x:c>
      <x:c r="D64" s="24" t="str">
        <x:v>Metallarning fizik va kimyoviy xossalari</x:v>
      </x:c>
      <x:c r="E64" s="24" t="str">
        <x:v>IV bob, 17-§, 77-79-betlar</x:v>
      </x:c>
      <x:c r="F64" s="24" t="str">
        <x:v>Metall bog‘lanish, faollik qatori</x:v>
      </x:c>
      <x:c r="G64" s="24" t="str">
        <x:v>Interaktiv faollik qatori</x:v>
      </x:c>
      <x:c r="H64" s="24" t="str">
        <x:v>Metallni reaktiv bilan solishtirish</x:v>
      </x:c>
      <x:c r="I64" s="24" t="str">
        <x:v>Lab</x:v>
      </x:c>
      <x:c r="J64" s="24" t="str">
        <x:v>Simulyatsiya; Trenajyor</x:v>
      </x:c>
      <x:c r="K64" s="24" t="str">
        <x:v>9.3; 9.7; 9.9</x:v>
      </x:c>
      <x:c r="L64" s="24" t="str">
        <x:v>“Metallar” mavzusi bo‘yicha tajribaviy masalalar; Metallar namunalari va issiqlik o‘tkazuvchanligini ko‘zdan kechirish; Tuz eritmalari bilan metallarning o‘zaro ta’siri</x:v>
      </x:c>
      <x:c r="M64" s="24" t="str">
        <x:v>Mavjud</x:v>
      </x:c>
      <x:c r="N64" s="24" t="str">
        <x:v>Metallar faollik qatori simulyatori</x:v>
      </x:c>
      <x:c r="O64" s="24" t="str">
        <x:v>9.7 fizik xossa, 9.9 tuz eritmasi bilan reaksiya, 9.3 tajribaviy masalalar bevosita mos.</x:v>
      </x:c>
      <x:c r="P64" s="24" t="str">
        <x:v>KimyoLab_v19.html</x:v>
      </x:c>
    </x:row>
    <x:row r="65">
      <x:c r="A65" s="24" t="n">
        <x:v>61</x:v>
      </x:c>
      <x:c r="B65" s="24" t="str">
        <x:v>9-sinf</x:v>
      </x:c>
      <x:c r="C65" s="24" t="str">
        <x:v>9.14</x:v>
      </x:c>
      <x:c r="D65" s="24" t="str">
        <x:v>Metallar korroziyasi</x:v>
      </x:c>
      <x:c r="E65" s="24" t="str">
        <x:v>IV bob, 18-§, 80-84-betlar</x:v>
      </x:c>
      <x:c r="F65" s="24" t="str">
        <x:v>Korroziya, himoya usullari</x:v>
      </x:c>
      <x:c r="G65" s="24" t="str">
        <x:v>Vaqt bo‘yicha animatsiya</x:v>
      </x:c>
      <x:c r="H65" s="24" t="str">
        <x:v>Muhit va himoya qoplamasini tanlab natijani ko‘rish</x:v>
      </x:c>
      <x:c r="I65" s="24" t="str">
        <x:v>Case</x:v>
      </x:c>
      <x:c r="J65" s="24" t="str">
        <x:v>Lab; Simulyatsiya</x:v>
      </x:c>
      <x:c r="K65" s="24" t="str"/>
      <x:c r="L65" s="24" t="str"/>
      <x:c r="M65" s="24" t="str">
        <x:v>Yangi kerak</x:v>
      </x:c>
      <x:c r="N65" s="24" t="str">
        <x:v>Korroziya sharoitlari va himoya usullari virtual tajribasi</x:v>
      </x:c>
      <x:c r="O65" s="24" t="str">
        <x:v>9-sinf katalogida maxsus korroziya amaliyoti yo‘q; yangi tajriba/case kerak.</x:v>
      </x:c>
      <x:c r="P65" s="24" t="str">
        <x:v>KimyoLab_v19.html</x:v>
      </x:c>
    </x:row>
    <x:row r="66">
      <x:c r="A66" s="24" t="n">
        <x:v>62</x:v>
      </x:c>
      <x:c r="B66" s="24" t="str">
        <x:v>9-sinf</x:v>
      </x:c>
      <x:c r="C66" s="24" t="str">
        <x:v>9.15</x:v>
      </x:c>
      <x:c r="D66" s="24" t="str">
        <x:v>Elektroliz va uning amaliy ahamiyati</x:v>
      </x:c>
      <x:c r="E66" s="24" t="str">
        <x:v>IV bob, 19-§, 85-96-betlar</x:v>
      </x:c>
      <x:c r="F66" s="24" t="str">
        <x:v>Anod, katod, eritma, suyuqlanma, qoplama</x:v>
      </x:c>
      <x:c r="G66" s="24" t="str">
        <x:v>Elektroliz simulyatori</x:v>
      </x:c>
      <x:c r="H66" s="24" t="str">
        <x:v>Elektrolit va elektrod tanlab mahsulotlarni ko‘rish</x:v>
      </x:c>
      <x:c r="I66" s="24" t="str">
        <x:v>Lab</x:v>
      </x:c>
      <x:c r="J66" s="24" t="str">
        <x:v>Simulyatsiya; Hisoblash</x:v>
      </x:c>
      <x:c r="K66" s="24" t="str">
        <x:v>9.10</x:v>
      </x:c>
      <x:c r="L66" s="24" t="str">
        <x:v>Mis(II)-xlorid va kaliy yodid eritmalarining elektrolizi</x:v>
      </x:c>
      <x:c r="M66" s="24" t="str">
        <x:v>Mavjud</x:v>
      </x:c>
      <x:c r="N66" s="24" t="str">
        <x:v>Elektrolit/elektrod tanlash simulyatori</x:v>
      </x:c>
      <x:c r="O66" s="24" t="str">
        <x:v>9.10 CuCl2 va KI eritmalari elektrolizi bevosita mos.</x:v>
      </x:c>
      <x:c r="P66" s="24" t="str">
        <x:v>KimyoLab_v19.html</x:v>
      </x:c>
    </x:row>
    <x:row r="67">
      <x:c r="A67" s="24" t="n">
        <x:v>63</x:v>
      </x:c>
      <x:c r="B67" s="24" t="str">
        <x:v>9-sinf</x:v>
      </x:c>
      <x:c r="C67" s="24" t="str">
        <x:v>9.16</x:v>
      </x:c>
      <x:c r="D67" s="24" t="str">
        <x:v>Ishqoriy metallar, natriy va kaliy birikmalari</x:v>
      </x:c>
      <x:c r="E67" s="24" t="str">
        <x:v>IV bob, 20-21-§, 97-104-betlar</x:v>
      </x:c>
      <x:c r="F67" s="24" t="str">
        <x:v>Na, K, reaktivlik, birikmalar</x:v>
      </x:c>
      <x:c r="G67" s="24" t="str">
        <x:v>Guruh trendi va reaksiya animatsiyasi</x:v>
      </x:c>
      <x:c r="H67" s="24" t="str">
        <x:v>Elementni suvga tushirib trendni solishtirish</x:v>
      </x:c>
      <x:c r="I67" s="24" t="str">
        <x:v>Lab</x:v>
      </x:c>
      <x:c r="J67" s="24" t="str">
        <x:v>Simulyatsiya</x:v>
      </x:c>
      <x:c r="K67" s="24" t="str">
        <x:v>9.2</x:v>
      </x:c>
      <x:c r="L67" s="24" t="str">
        <x:v>“Ishqoriy metallar” va “Kalsiy” mavzulari bo‘yicha tajribaviy masalalar</x:v>
      </x:c>
      <x:c r="M67" s="24" t="str">
        <x:v>Mavjud</x:v>
      </x:c>
      <x:c r="N67" s="24" t="str">
        <x:v>Na/K/Ca reaksiyalari va guruh trendi</x:v>
      </x:c>
      <x:c r="O67" s="24" t="str">
        <x:v>9.2 ishqoriy metallar va kalsiy bo‘yicha tajribaviy masalalar.</x:v>
      </x:c>
      <x:c r="P67" s="24" t="str">
        <x:v>KimyoLab_v19.html</x:v>
      </x:c>
    </x:row>
    <x:row r="68">
      <x:c r="A68" s="24" t="n">
        <x:v>64</x:v>
      </x:c>
      <x:c r="B68" s="24" t="str">
        <x:v>9-sinf</x:v>
      </x:c>
      <x:c r="C68" s="24" t="str">
        <x:v>9.17</x:v>
      </x:c>
      <x:c r="D68" s="24" t="str">
        <x:v>Soda ishlab chiqarish</x:v>
      </x:c>
      <x:c r="E68" s="24" t="str">
        <x:v>IV bob, 22-§, 105-108-betlar</x:v>
      </x:c>
      <x:c r="F68" s="24" t="str">
        <x:v>Sanoat jarayoni, xomashyo, mahsulot</x:v>
      </x:c>
      <x:c r="G68" s="24" t="str">
        <x:v>Texnologik sxema</x:v>
      </x:c>
      <x:c r="H68" s="24" t="str">
        <x:v>Bosqichlarni to‘g‘ri zanjirga joylashtirish</x:v>
      </x:c>
      <x:c r="I68" s="24" t="str">
        <x:v>Case</x:v>
      </x:c>
      <x:c r="J68" s="24" t="str">
        <x:v>Simulyatsiya; Hisoblash</x:v>
      </x:c>
      <x:c r="K68" s="24" t="str">
        <x:v>9.2</x:v>
      </x:c>
      <x:c r="L68" s="24" t="str">
        <x:v>“Ishqoriy metallar” va “Kalsiy” mavzulari bo‘yicha tajribaviy masalalar</x:v>
      </x:c>
      <x:c r="M68" s="24" t="str">
        <x:v>Qisman mavjud</x:v>
      </x:c>
      <x:c r="N68" s="24" t="str">
        <x:v>Solvay jarayoni texnologik zanjiri</x:v>
      </x:c>
      <x:c r="O68" s="24" t="str">
        <x:v>9.2 natriy birikmalariga tayanch beradi; ishlab chiqarish zanjiri yangi case/simulyatsiya bo‘lishi kerak.</x:v>
      </x:c>
      <x:c r="P68" s="24" t="str">
        <x:v>KimyoLab_v19.html</x:v>
      </x:c>
    </x:row>
    <x:row r="69">
      <x:c r="A69" s="24" t="n">
        <x:v>65</x:v>
      </x:c>
      <x:c r="B69" s="24" t="str">
        <x:v>9-sinf</x:v>
      </x:c>
      <x:c r="C69" s="24" t="str">
        <x:v>9.18</x:v>
      </x:c>
      <x:c r="D69" s="24" t="str">
        <x:v>Kalsiy, magniy va suvning qattiqligi</x:v>
      </x:c>
      <x:c r="E69" s="24" t="str">
        <x:v>IV bob, 23-24-§, 109-120-betlar</x:v>
      </x:c>
      <x:c r="F69" s="24" t="str">
        <x:v>Ca, Mg, karbonat, qattiqlik, yumshatish</x:v>
      </x:c>
      <x:c r="G69" s="24" t="str">
        <x:v>Suv qattiqligi simulyatori</x:v>
      </x:c>
      <x:c r="H69" s="24" t="str">
        <x:v>Ion miqdorini o‘zgartirib usul tanlash</x:v>
      </x:c>
      <x:c r="I69" s="24" t="str">
        <x:v>Lab</x:v>
      </x:c>
      <x:c r="J69" s="24" t="str">
        <x:v>Simulyatsiya; Hisoblash</x:v>
      </x:c>
      <x:c r="K69" s="24" t="str">
        <x:v>9.2</x:v>
      </x:c>
      <x:c r="L69" s="24" t="str">
        <x:v>“Ishqoriy metallar” va “Kalsiy” mavzulari bo‘yicha tajribaviy masalalar</x:v>
      </x:c>
      <x:c r="M69" s="24" t="str">
        <x:v>Qisman mavjud</x:v>
      </x:c>
      <x:c r="N69" s="24" t="str">
        <x:v>Suv qattiqligi ion modeli va yumshatish usuli tanlash</x:v>
      </x:c>
      <x:c r="O69" s="24" t="str">
        <x:v>9.2 kalsiy bo‘yicha amaliy masalalar bor, lekin suv qattiqligi uchun alohida activity kerak.</x:v>
      </x:c>
      <x:c r="P69" s="24" t="str">
        <x:v>KimyoLab_v19.html</x:v>
      </x:c>
    </x:row>
    <x:row r="70">
      <x:c r="A70" s="24" t="n">
        <x:v>66</x:v>
      </x:c>
      <x:c r="B70" s="24" t="str">
        <x:v>9-sinf</x:v>
      </x:c>
      <x:c r="C70" s="24" t="str">
        <x:v>9.19</x:v>
      </x:c>
      <x:c r="D70" s="24" t="str">
        <x:v>Alyuminiy va uning birikmalari</x:v>
      </x:c>
      <x:c r="E70" s="24" t="str">
        <x:v>IV bob, 25-27-§, 121-130-betlar</x:v>
      </x:c>
      <x:c r="F70" s="24" t="str">
        <x:v>Al, amfoterlik, oksid parda</x:v>
      </x:c>
      <x:c r="G70" s="24" t="str">
        <x:v>Reaksiya xaritasi</x:v>
      </x:c>
      <x:c r="H70" s="24" t="str">
        <x:v>Kislota va ishqor ta’sirini taqqoslash</x:v>
      </x:c>
      <x:c r="I70" s="24" t="str">
        <x:v>Lab</x:v>
      </x:c>
      <x:c r="J70" s="24" t="str">
        <x:v>Simulyatsiya; Trenajyor</x:v>
      </x:c>
      <x:c r="K70" s="24" t="str">
        <x:v>9.11; 9.12; 9.13; 9.14</x:v>
      </x:c>
      <x:c r="L70" s="24" t="str">
        <x:v>Alyuminiyning kislota va ishqor eritmalari bilan o‘zaro ta’siri; Alyuminiy namunalari va qotishmalari bilan tanishish; Alyuminiy gidroksidni olish va uning xossalari; Alyuminiy tuzlari eritmalarining indikatorlarga ta’siri</x:v>
      </x:c>
      <x:c r="M70" s="24" t="str">
        <x:v>Mavjud</x:v>
      </x:c>
      <x:c r="N70" s="24" t="str">
        <x:v>Al va Al(OH)3 amfoterlik reaksiyalar xaritasi</x:v>
      </x:c>
      <x:c r="O70" s="24" t="str">
        <x:v>9.11–9.14 alyuminiy mavzusini juda to‘liq qoplaydi.</x:v>
      </x:c>
      <x:c r="P70" s="24" t="str">
        <x:v>KimyoLab_v19.html</x:v>
      </x:c>
    </x:row>
    <x:row r="71">
      <x:c r="A71" s="24" t="n">
        <x:v>67</x:v>
      </x:c>
      <x:c r="B71" s="24" t="str">
        <x:v>9-sinf</x:v>
      </x:c>
      <x:c r="C71" s="24" t="str">
        <x:v>9.20</x:v>
      </x:c>
      <x:c r="D71" s="24" t="str">
        <x:v>Mis, kumush va oltin</x:v>
      </x:c>
      <x:c r="E71" s="24" t="str">
        <x:v>IV bob, 28-29-§, 131-138-betlar</x:v>
      </x:c>
      <x:c r="F71" s="24" t="str">
        <x:v>Cu, Ag, Au, xossalar, ishlatilish</x:v>
      </x:c>
      <x:c r="G71" s="24" t="str">
        <x:v>Element kartalari va faollik taqqoslash</x:v>
      </x:c>
      <x:c r="H71" s="24" t="str">
        <x:v>Metallni bosib reaksiya va qo‘llanishini ko‘rish</x:v>
      </x:c>
      <x:c r="I71" s="24" t="str">
        <x:v>Lab</x:v>
      </x:c>
      <x:c r="J71" s="24" t="str">
        <x:v>Simulyatsiya</x:v>
      </x:c>
      <x:c r="K71" s="24" t="str">
        <x:v>9.3; 9.9; 9.15</x:v>
      </x:c>
      <x:c r="L71" s="24" t="str">
        <x:v>“Metallar” mavzusi bo‘yicha tajribaviy masalalar; Tuz eritmalari bilan metallarning o‘zaro ta’siri; Mis(II)-gidroksidni olish va xossalarini tekshirish</x:v>
      </x:c>
      <x:c r="M71" s="24" t="str">
        <x:v>Qisman mavjud</x:v>
      </x:c>
      <x:c r="N71" s="24" t="str">
        <x:v>Cu/Ag/Au faollik va sifat reaksiyalari paneli</x:v>
      </x:c>
      <x:c r="O71" s="24" t="str">
        <x:v>9.9 metall-tuz almashinuvi va 9.15 Cu(OH)2 mis kimyosini qo‘llab-quvvatlaydi.</x:v>
      </x:c>
      <x:c r="P71" s="24" t="str">
        <x:v>KimyoLab_v19.html</x:v>
      </x:c>
    </x:row>
    <x:row r="72">
      <x:c r="A72" s="24" t="n">
        <x:v>68</x:v>
      </x:c>
      <x:c r="B72" s="24" t="str">
        <x:v>9-sinf</x:v>
      </x:c>
      <x:c r="C72" s="24" t="str">
        <x:v>9.21</x:v>
      </x:c>
      <x:c r="D72" s="24" t="str">
        <x:v>II guruh yonaki guruhcha elementlari</x:v>
      </x:c>
      <x:c r="E72" s="24" t="str">
        <x:v>IV bob, 30-§, 139-144-betlar</x:v>
      </x:c>
      <x:c r="F72" s="24" t="str">
        <x:v>Zn, Cd, Hg; elektron tuzilish va xossa</x:v>
      </x:c>
      <x:c r="G72" s="24" t="str">
        <x:v>Guruh kartalari</x:v>
      </x:c>
      <x:c r="H72" s="24" t="str">
        <x:v>Trend va birikmalarni taqqoslash</x:v>
      </x:c>
      <x:c r="I72" s="24" t="str">
        <x:v>Lab</x:v>
      </x:c>
      <x:c r="J72" s="24" t="str">
        <x:v>Simulyatsiya</x:v>
      </x:c>
      <x:c r="K72" s="24" t="str">
        <x:v>9.16</x:v>
      </x:c>
      <x:c r="L72" s="24" t="str">
        <x:v>Rux gidroksidni olish va amfoter xossalarini tekshirish</x:v>
      </x:c>
      <x:c r="M72" s="24" t="str">
        <x:v>Qisman mavjud</x:v>
      </x:c>
      <x:c r="N72" s="24" t="str">
        <x:v>Zn/Cd/Hg guruh xossalari taqqoslash</x:v>
      </x:c>
      <x:c r="O72" s="24" t="str">
        <x:v>9.16 Zn(OH)2 amfoterligini bevosita ko‘rsatadi; qolgan guruh uchun simulyatsiya zarur.</x:v>
      </x:c>
      <x:c r="P72" s="24" t="str">
        <x:v>KimyoLab_v19.html</x:v>
      </x:c>
    </x:row>
    <x:row r="73">
      <x:c r="A73" s="24" t="n">
        <x:v>69</x:v>
      </x:c>
      <x:c r="B73" s="24" t="str">
        <x:v>9-sinf</x:v>
      </x:c>
      <x:c r="C73" s="24" t="str">
        <x:v>9.22</x:v>
      </x:c>
      <x:c r="D73" s="24" t="str">
        <x:v>Xrom va uning II, III, VI valentli birikmalari</x:v>
      </x:c>
      <x:c r="E73" s="24" t="str">
        <x:v>IV bob, 31-32-§, 145-151-betlar</x:v>
      </x:c>
      <x:c r="F73" s="24" t="str">
        <x:v>Cr oksidlanish darajalari, rangli birikmalar</x:v>
      </x:c>
      <x:c r="G73" s="24" t="str">
        <x:v>Rang o‘zgarishi xaritasi</x:v>
      </x:c>
      <x:c r="H73" s="24" t="str">
        <x:v>Muhitga qarab xrom birikmalari o‘zgarishini ko‘rish</x:v>
      </x:c>
      <x:c r="I73" s="24" t="str">
        <x:v>Lab</x:v>
      </x:c>
      <x:c r="J73" s="24" t="str">
        <x:v>Simulyatsiya; Trenajyor</x:v>
      </x:c>
      <x:c r="K73" s="24" t="str">
        <x:v>9.17</x:v>
      </x:c>
      <x:c r="L73" s="24" t="str">
        <x:v>Xrom(II), xrom(III) va xrom(VI) birikmalari bilan tajribalar</x:v>
      </x:c>
      <x:c r="M73" s="24" t="str">
        <x:v>Mavjud</x:v>
      </x:c>
      <x:c r="N73" s="24" t="str">
        <x:v>Cr(II)/Cr(III)/Cr(VI) rang va redoks xaritasi</x:v>
      </x:c>
      <x:c r="O73" s="24" t="str">
        <x:v>9.17 aynan xrom birikmalari tajribasi.</x:v>
      </x:c>
      <x:c r="P73" s="24" t="str">
        <x:v>KimyoLab_v19.html</x:v>
      </x:c>
    </x:row>
    <x:row r="74">
      <x:c r="A74" s="24" t="n">
        <x:v>70</x:v>
      </x:c>
      <x:c r="B74" s="24" t="str">
        <x:v>9-sinf</x:v>
      </x:c>
      <x:c r="C74" s="24" t="str">
        <x:v>9.23</x:v>
      </x:c>
      <x:c r="D74" s="24" t="str">
        <x:v>Marganes</x:v>
      </x:c>
      <x:c r="E74" s="24" t="str">
        <x:v>IV bob, 33-§, 152-157-betlar</x:v>
      </x:c>
      <x:c r="F74" s="24" t="str">
        <x:v>Mn oksidlanish darajalari, permanganat</x:v>
      </x:c>
      <x:c r="G74" s="24" t="str">
        <x:v>Rangli redoks animatsiyasi</x:v>
      </x:c>
      <x:c r="H74" s="24" t="str">
        <x:v>Muhitni tanlab rang va mahsulotni ko‘rish</x:v>
      </x:c>
      <x:c r="I74" s="24" t="str">
        <x:v>Simulyatsiya</x:v>
      </x:c>
      <x:c r="J74" s="24" t="str">
        <x:v>Trenajyor</x:v>
      </x:c>
      <x:c r="K74" s="24" t="str"/>
      <x:c r="L74" s="24" t="str"/>
      <x:c r="M74" s="24" t="str">
        <x:v>Yangi kerak</x:v>
      </x:c>
      <x:c r="N74" s="24" t="str">
        <x:v>Mn oksidlanish darajalari va muhitga bog‘liq rangli redoks simulyatsiyasi</x:v>
      </x:c>
      <x:c r="O74" s="24" t="str">
        <x:v>Katalogda marganes uchun maxsus amaliy ish yo‘q.</x:v>
      </x:c>
      <x:c r="P74" s="24" t="str">
        <x:v>KimyoLab_v19.html</x:v>
      </x:c>
    </x:row>
    <x:row r="75">
      <x:c r="A75" s="24" t="n">
        <x:v>71</x:v>
      </x:c>
      <x:c r="B75" s="24" t="str">
        <x:v>9-sinf</x:v>
      </x:c>
      <x:c r="C75" s="24" t="str">
        <x:v>9.24</x:v>
      </x:c>
      <x:c r="D75" s="24" t="str">
        <x:v>Temir va eng muhim birikmalari</x:v>
      </x:c>
      <x:c r="E75" s="24" t="str">
        <x:v>IV bob, 34-35-§, 158-164-betlar</x:v>
      </x:c>
      <x:c r="F75" s="24" t="str">
        <x:v>Fe2+, Fe3+, oksidlar, tuzlar</x:v>
      </x:c>
      <x:c r="G75" s="24" t="str">
        <x:v>Oksidlanish darajasi va rang xaritasi</x:v>
      </x:c>
      <x:c r="H75" s="24" t="str">
        <x:v>Fe2+ va Fe3+ reaksiyalarini taqqoslash</x:v>
      </x:c>
      <x:c r="I75" s="24" t="str">
        <x:v>Lab</x:v>
      </x:c>
      <x:c r="J75" s="24" t="str">
        <x:v>Simulyatsiya; Trenajyor</x:v>
      </x:c>
      <x:c r="K75" s="24" t="str">
        <x:v>9.18; 9.19</x:v>
      </x:c>
      <x:c r="L75" s="24" t="str">
        <x:v>Temir(II) va temir(III)-gidroksidlarni olish; Temir(II) va temir(III) tuzlarini aniqlash</x:v>
      </x:c>
      <x:c r="M75" s="24" t="str">
        <x:v>Mavjud</x:v>
      </x:c>
      <x:c r="N75" s="24" t="str">
        <x:v>Fe2+/Fe3+ rang, cho‘kma va sifat reaksiyalari</x:v>
      </x:c>
      <x:c r="O75" s="24" t="str">
        <x:v>9.18–9.19 temir(II)/(III) birikmalarini bevosita qamrab oladi.</x:v>
      </x:c>
      <x:c r="P75" s="24" t="str">
        <x:v>KimyoLab_v19.html</x:v>
      </x:c>
    </x:row>
    <x:row r="76">
      <x:c r="A76" s="24" t="n">
        <x:v>72</x:v>
      </x:c>
      <x:c r="B76" s="24" t="str">
        <x:v>9-sinf</x:v>
      </x:c>
      <x:c r="C76" s="24" t="str">
        <x:v>9.25</x:v>
      </x:c>
      <x:c r="D76" s="24" t="str">
        <x:v>Cho‘yan va po‘lat ishlab chiqarish</x:v>
      </x:c>
      <x:c r="E76" s="24" t="str">
        <x:v>IV bob, 36-37-§, 165-176-betlar</x:v>
      </x:c>
      <x:c r="F76" s="24" t="str">
        <x:v>Domna jarayoni, cho‘yan, po‘lat</x:v>
      </x:c>
      <x:c r="G76" s="24" t="str">
        <x:v>Sanoat animatsiyasi</x:v>
      </x:c>
      <x:c r="H76" s="24" t="str">
        <x:v>Xomashyoni domna zonalariga joylashtirish</x:v>
      </x:c>
      <x:c r="I76" s="24" t="str">
        <x:v>Lab</x:v>
      </x:c>
      <x:c r="J76" s="24" t="str">
        <x:v>Case; Simulyatsiya</x:v>
      </x:c>
      <x:c r="K76" s="24" t="str">
        <x:v>9.20</x:v>
      </x:c>
      <x:c r="L76" s="24" t="str">
        <x:v>Cho‘yan va po‘lat namunalari bilan tanishish</x:v>
      </x:c>
      <x:c r="M76" s="24" t="str">
        <x:v>Qisman mavjud</x:v>
      </x:c>
      <x:c r="N76" s="24" t="str">
        <x:v>Domna jarayoni va cho‘yan-po‘lat tarkib/xossa taqqoslash</x:v>
      </x:c>
      <x:c r="O76" s="24" t="str">
        <x:v>9.20 tayyor mahsulotlarni kuzatadi; ishlab chiqarish jarayoni case/simulyatsiya bilan to‘ldiriladi.</x:v>
      </x:c>
      <x:c r="P76" s="24" t="str">
        <x:v>KimyoLab_v19.html</x:v>
      </x:c>
    </x:row>
    <x:row r="77">
      <x:c r="A77" s="24" t="n">
        <x:v>73</x:v>
      </x:c>
      <x:c r="B77" s="24" t="str">
        <x:v>9-sinf</x:v>
      </x:c>
      <x:c r="C77" s="24" t="str">
        <x:v>9.26</x:v>
      </x:c>
      <x:c r="D77" s="24" t="str">
        <x:v>Kimyoviy ishlab chiqarish va atmosfera-gidrosferani muhofaza qilish</x:v>
      </x:c>
      <x:c r="E77" s="24" t="str">
        <x:v>V bob, 38-41-§, 177-191-betlar</x:v>
      </x:c>
      <x:c r="F77" s="24" t="str">
        <x:v>Sanoat, chiqindi, ekologiya, davriy qonun ahamiyati</x:v>
      </x:c>
      <x:c r="G77" s="24" t="str">
        <x:v>Ekologik tizim xaritasi</x:v>
      </x:c>
      <x:c r="H77" s="24" t="str">
        <x:v>Ifloslanish manbai va yechimni bog‘lash</x:v>
      </x:c>
      <x:c r="I77" s="24" t="str">
        <x:v>Case</x:v>
      </x:c>
      <x:c r="J77" s="24" t="str">
        <x:v>Simulyatsiya</x:v>
      </x:c>
      <x:c r="K77" s="24" t="str"/>
      <x:c r="L77" s="24" t="str"/>
      <x:c r="M77" s="24" t="str">
        <x:v>Yangi kerak</x:v>
      </x:c>
      <x:c r="N77" s="24" t="str">
        <x:v>Kimyoviy ishlab chiqarishda ifloslanish manbai–tozalash yechimi case’i</x:v>
      </x:c>
      <x:c r="O77" s="24" t="str">
        <x:v>Ekologik integratsion mavzu; katalogda maxsus amaliy ish yo‘q.</x:v>
      </x:c>
      <x:c r="P77" s="24" t="str">
        <x:v>KimyoLab_v19.html</x:v>
      </x:c>
    </x:row>
    <x:row r="78">
      <x:c r="A78" s="24" t="n">
        <x:v>74</x:v>
      </x:c>
      <x:c r="B78" s="24" t="str">
        <x:v>10-sinf</x:v>
      </x:c>
      <x:c r="C78" s="24" t="str">
        <x:v>10.01</x:v>
      </x:c>
      <x:c r="D78" s="24" t="str">
        <x:v>Organik kimyo tarixi va organik birikmalarning o‘ziga xos xususiyatlari</x:v>
      </x:c>
      <x:c r="E78" s="24" t="str">
        <x:v>I bob, 1.1, 7-11-betlar</x:v>
      </x:c>
      <x:c r="F78" s="24" t="str">
        <x:v>Organik/noorganik moddalar farqi, tarix</x:v>
      </x:c>
      <x:c r="G78" s="24" t="str">
        <x:v>Vaqt chizig‘i va taqqoslash paneli</x:v>
      </x:c>
      <x:c r="H78" s="24" t="str">
        <x:v>Mezonlarni bosib ikki guruh xossalarini solishtirish</x:v>
      </x:c>
      <x:c r="I78" s="24" t="str">
        <x:v>Lab</x:v>
      </x:c>
      <x:c r="J78" s="24" t="str">
        <x:v>Case; Simulyatsiya</x:v>
      </x:c>
      <x:c r="K78" s="24" t="str">
        <x:v>10.1; 10.2</x:v>
      </x:c>
      <x:c r="L78" s="24" t="str">
        <x:v>Organik birikmalar namunalari bilan tanishish va qiyoslash; Organik birikmalar tarkibini tahlil qilish</x:v>
      </x:c>
      <x:c r="M78" s="24" t="str">
        <x:v>Mavjud</x:v>
      </x:c>
      <x:c r="N78" s="24" t="str">
        <x:v>Organik/noorganik xossalarni taqqoslash case’i</x:v>
      </x:c>
      <x:c r="O78" s="24" t="str">
        <x:v>10.1 namunalarni qiyoslaydi, 10.2 tarkibni tahlil qiladi.</x:v>
      </x:c>
      <x:c r="P78" s="24" t="str">
        <x:v>KimyoLab_v19.html</x:v>
      </x:c>
    </x:row>
    <x:row r="79">
      <x:c r="A79" s="24" t="n">
        <x:v>75</x:v>
      </x:c>
      <x:c r="B79" s="24" t="str">
        <x:v>10-sinf</x:v>
      </x:c>
      <x:c r="C79" s="24" t="str">
        <x:v>10.02</x:v>
      </x:c>
      <x:c r="D79" s="24" t="str">
        <x:v>Organik birikmalar tuzilish nazariyasi</x:v>
      </x:c>
      <x:c r="E79" s="24" t="str">
        <x:v>I bob, 1.2, 12-14-betlar</x:v>
      </x:c>
      <x:c r="F79" s="24" t="str">
        <x:v>Butlerov nazariyasi, struktura</x:v>
      </x:c>
      <x:c r="G79" s="24" t="str">
        <x:v>Molekula konstruktori</x:v>
      </x:c>
      <x:c r="H79" s="24" t="str">
        <x:v>Atomlarni turli tartibda bog‘lab xossalar farqini ko‘rish</x:v>
      </x:c>
      <x:c r="I79" s="24" t="str">
        <x:v>Simulyatsiya</x:v>
      </x:c>
      <x:c r="J79" s="24" t="str">
        <x:v>Lab</x:v>
      </x:c>
      <x:c r="K79" s="24" t="str">
        <x:v>10.2; 10.4</x:v>
      </x:c>
      <x:c r="L79" s="24" t="str">
        <x:v>Organik birikmalar tarkibini tahlil qilish; Uglevodorodlarning shar-sterjenli va masshtabli modellarini yasash</x:v>
      </x:c>
      <x:c r="M79" s="24" t="str">
        <x:v>Qisman mavjud</x:v>
      </x:c>
      <x:c r="N79" s="24" t="str">
        <x:v>Tuzilish nazariyasi molekula konstruktori</x:v>
      </x:c>
      <x:c r="O79" s="24" t="str">
        <x:v>10.4 modellar yasash, 10.2 tarkib tahlili tuzilish–tarkib bog‘ini qo‘llab-quvvatlaydi.</x:v>
      </x:c>
      <x:c r="P79" s="24" t="str">
        <x:v>KimyoLab_v19.html</x:v>
      </x:c>
    </x:row>
    <x:row r="80">
      <x:c r="A80" s="24" t="n">
        <x:v>76</x:v>
      </x:c>
      <x:c r="B80" s="24" t="str">
        <x:v>10-sinf</x:v>
      </x:c>
      <x:c r="C80" s="24" t="str">
        <x:v>10.03</x:v>
      </x:c>
      <x:c r="D80" s="24" t="str">
        <x:v>Uglerodning valentligi va oksidlanish darajasi</x:v>
      </x:c>
      <x:c r="E80" s="24" t="str">
        <x:v>I bob, 1.3, 15-17-betlar</x:v>
      </x:c>
      <x:c r="F80" s="24" t="str">
        <x:v>C valentligi, bog‘lar, oksidlanish darajasi</x:v>
      </x:c>
      <x:c r="G80" s="24" t="str">
        <x:v>Bog‘lar konstruktori</x:v>
      </x:c>
      <x:c r="H80" s="24" t="str">
        <x:v>Uglerod atrofiga atomlarni joylashtirish</x:v>
      </x:c>
      <x:c r="I80" s="24" t="str">
        <x:v>Trenajyor</x:v>
      </x:c>
      <x:c r="J80" s="24" t="str">
        <x:v>Simulyatsiya; Lab</x:v>
      </x:c>
      <x:c r="K80" s="24" t="str">
        <x:v>10.4</x:v>
      </x:c>
      <x:c r="L80" s="24" t="str">
        <x:v>Uglevodorodlarning shar-sterjenli va masshtabli modellarini yasash</x:v>
      </x:c>
      <x:c r="M80" s="24" t="str">
        <x:v>Qisman mavjud</x:v>
      </x:c>
      <x:c r="N80" s="24" t="str">
        <x:v>Uglerod valentligi/bog‘lar konstruktori</x:v>
      </x:c>
      <x:c r="O80" s="24" t="str">
        <x:v>10.4 uglevodorod modellarida C valentligi amalda namoyon bo‘ladi.</x:v>
      </x:c>
      <x:c r="P80" s="24" t="str">
        <x:v>KimyoLab_v19.html</x:v>
      </x:c>
    </x:row>
    <x:row r="81">
      <x:c r="A81" s="24" t="n">
        <x:v>77</x:v>
      </x:c>
      <x:c r="B81" s="24" t="str">
        <x:v>10-sinf</x:v>
      </x:c>
      <x:c r="C81" s="24" t="str">
        <x:v>10.04</x:v>
      </x:c>
      <x:c r="D81" s="24" t="str">
        <x:v>Izomeriya va uning turlari</x:v>
      </x:c>
      <x:c r="E81" s="24" t="str">
        <x:v>I bob, 1.4, 18-21-betlar</x:v>
      </x:c>
      <x:c r="F81" s="24" t="str">
        <x:v>Strukturaviy va fazoviy izomeriya</x:v>
      </x:c>
      <x:c r="G81" s="24" t="str">
        <x:v>3D izomer konstruktori</x:v>
      </x:c>
      <x:c r="H81" s="24" t="str">
        <x:v>Bir formuladan turli tuzilishlar yasash</x:v>
      </x:c>
      <x:c r="I81" s="24" t="str">
        <x:v>Simulyatsiya</x:v>
      </x:c>
      <x:c r="J81" s="24" t="str">
        <x:v>Trenajyor; Lab</x:v>
      </x:c>
      <x:c r="K81" s="24" t="str">
        <x:v>10.4</x:v>
      </x:c>
      <x:c r="L81" s="24" t="str">
        <x:v>Uglevodorodlarning shar-sterjenli va masshtabli modellarini yasash</x:v>
      </x:c>
      <x:c r="M81" s="24" t="str">
        <x:v>Qisman mavjud</x:v>
      </x:c>
      <x:c r="N81" s="24" t="str">
        <x:v>3D izomer konstruktori</x:v>
      </x:c>
      <x:c r="O81" s="24" t="str">
        <x:v>10.4 shar-sterjen modellarini yasash izomeriya uchun tayanch amaliyot.</x:v>
      </x:c>
      <x:c r="P81" s="24" t="str">
        <x:v>KimyoLab_v19.html</x:v>
      </x:c>
    </x:row>
    <x:row r="82">
      <x:c r="A82" s="24" t="n">
        <x:v>78</x:v>
      </x:c>
      <x:c r="B82" s="24" t="str">
        <x:v>10-sinf</x:v>
      </x:c>
      <x:c r="C82" s="24" t="str">
        <x:v>10.05</x:v>
      </x:c>
      <x:c r="D82" s="24" t="str">
        <x:v>Organik birikmalarning sinflanishi</x:v>
      </x:c>
      <x:c r="E82" s="24" t="str">
        <x:v>I bob, 1.5, 22-25-betlar</x:v>
      </x:c>
      <x:c r="F82" s="24" t="str">
        <x:v>Uglevodorod va funksional guruhlar</x:v>
      </x:c>
      <x:c r="G82" s="24" t="str">
        <x:v>Sinf daraxti</x:v>
      </x:c>
      <x:c r="H82" s="24" t="str">
        <x:v>Molekulalarni sinflarga sudrab joylashtirish</x:v>
      </x:c>
      <x:c r="I82" s="24" t="str">
        <x:v>Trenajyor</x:v>
      </x:c>
      <x:c r="J82" s="24" t="str">
        <x:v>Lab</x:v>
      </x:c>
      <x:c r="K82" s="24" t="str">
        <x:v>10.1; 10.10</x:v>
      </x:c>
      <x:c r="L82" s="24" t="str">
        <x:v>Organik birikmalar namunalari bilan tanishish va qiyoslash; Organik birikmalarni xos reaksiyalar asosida aniqlash</x:v>
      </x:c>
      <x:c r="M82" s="24" t="str">
        <x:v>Mavjud</x:v>
      </x:c>
      <x:c r="N82" s="24" t="str">
        <x:v>Organik sinflarga tasniflash drag-drop</x:v>
      </x:c>
      <x:c r="O82" s="24" t="str">
        <x:v>10.1 namunalar va 10.10 xos reaksiyalar orqali sinflarni farqlash mumkin.</x:v>
      </x:c>
      <x:c r="P82" s="24" t="str">
        <x:v>KimyoLab_v19.html</x:v>
      </x:c>
    </x:row>
    <x:row r="83">
      <x:c r="A83" s="24" t="n">
        <x:v>79</x:v>
      </x:c>
      <x:c r="B83" s="24" t="str">
        <x:v>10-sinf</x:v>
      </x:c>
      <x:c r="C83" s="24" t="str">
        <x:v>10.06</x:v>
      </x:c>
      <x:c r="D83" s="24" t="str">
        <x:v>Organik reaksiyalar turlari</x:v>
      </x:c>
      <x:c r="E83" s="24" t="str">
        <x:v>I bob, 1.6, 26-28-betlar</x:v>
      </x:c>
      <x:c r="F83" s="24" t="str">
        <x:v>Birikish, ajralish, almashinish, o‘rin olish</x:v>
      </x:c>
      <x:c r="G83" s="24" t="str">
        <x:v>Reaksiya animatsiyasi</x:v>
      </x:c>
      <x:c r="H83" s="24" t="str">
        <x:v>Reaksiya sxemasini turiga mos ajratish</x:v>
      </x:c>
      <x:c r="I83" s="24" t="str">
        <x:v>Trenajyor</x:v>
      </x:c>
      <x:c r="J83" s="24" t="str">
        <x:v>Lab; Simulyatsiya</x:v>
      </x:c>
      <x:c r="K83" s="24" t="str">
        <x:v>10.3; 10.5; 10.6; 10.7; 10.8; 10.9; 10.10</x:v>
      </x:c>
      <x:c r="L83" s="24" t="str">
        <x:v>Etilenning olinishi va xossalarini o‘rganish; Ko‘p atomli spirtlarga oid tajribalar; Spirtlar va aldegidlarga xos reaksiyalar; O‘simliklar tarkibidagi murakkab efirlar; Yog‘lardan sovun olish; Uglevodlarga oid tajribalar; Organik birikmalarni xos reaksiyalar asosida aniqlash</x:v>
      </x:c>
      <x:c r="M83" s="24" t="str">
        <x:v>Mavjud</x:v>
      </x:c>
      <x:c r="N83" s="24" t="str">
        <x:v>Organik reaksiya turini aniqlash trenajyori</x:v>
      </x:c>
      <x:c r="O83" s="24" t="str">
        <x:v>Deyarli barcha organik amaliy ishlar reaksiya turlariga kontekst beradi.</x:v>
      </x:c>
      <x:c r="P83" s="24" t="str">
        <x:v>KimyoLab_v19.html</x:v>
      </x:c>
    </x:row>
    <x:row r="84">
      <x:c r="A84" s="24" t="n">
        <x:v>80</x:v>
      </x:c>
      <x:c r="B84" s="24" t="str">
        <x:v>10-sinf</x:v>
      </x:c>
      <x:c r="C84" s="24" t="str">
        <x:v>10.07</x:v>
      </x:c>
      <x:c r="D84" s="24" t="str">
        <x:v>Organik birikmalar nomenklaturasi</x:v>
      </x:c>
      <x:c r="E84" s="24" t="str">
        <x:v>I bob, 1.7, 29-32-betlar</x:v>
      </x:c>
      <x:c r="F84" s="24" t="str">
        <x:v>Asosiy zanjir, raqamlash, nomlash</x:v>
      </x:c>
      <x:c r="G84" s="24" t="str">
        <x:v>Nomlash trenajyori</x:v>
      </x:c>
      <x:c r="H84" s="24" t="str">
        <x:v>Molekuladan nom yoki nomdan tuzilma yaratish</x:v>
      </x:c>
      <x:c r="I84" s="24" t="str">
        <x:v>Trenajyor</x:v>
      </x:c>
      <x:c r="J84" s="24" t="str">
        <x:v>Simulyatsiya</x:v>
      </x:c>
      <x:c r="K84" s="24" t="str"/>
      <x:c r="L84" s="24" t="str"/>
      <x:c r="M84" s="24" t="str">
        <x:v>Yangi kerak</x:v>
      </x:c>
      <x:c r="N84" s="24" t="str">
        <x:v>IUPAC nomlash: tuzilma↔nom konstruktori</x:v>
      </x:c>
      <x:c r="O84" s="24" t="str">
        <x:v>Nomenklatura uchun bevosita drill kerak; laboratoriya shart emas.</x:v>
      </x:c>
      <x:c r="P84" s="24" t="str">
        <x:v>KimyoLab_v19.html</x:v>
      </x:c>
    </x:row>
    <x:row r="85">
      <x:c r="A85" s="24" t="n">
        <x:v>81</x:v>
      </x:c>
      <x:c r="B85" s="24" t="str">
        <x:v>10-sinf</x:v>
      </x:c>
      <x:c r="C85" s="24" t="str">
        <x:v>10.08</x:v>
      </x:c>
      <x:c r="D85" s="24" t="str">
        <x:v>Alkanlar va gomologik qator</x:v>
      </x:c>
      <x:c r="E85" s="24" t="str">
        <x:v>II bob, 2.1, 39-42-betlar</x:v>
      </x:c>
      <x:c r="F85" s="24" t="str">
        <x:v>CnH2n+2, gomologik farq</x:v>
      </x:c>
      <x:c r="G85" s="24" t="str">
        <x:v>Gomologik qator generatori</x:v>
      </x:c>
      <x:c r="H85" s="24" t="str">
        <x:v>Uglerod soni slayderi bilan molekulani o‘zgartirish</x:v>
      </x:c>
      <x:c r="I85" s="24" t="str">
        <x:v>Simulyatsiya</x:v>
      </x:c>
      <x:c r="J85" s="24" t="str">
        <x:v>Lab</x:v>
      </x:c>
      <x:c r="K85" s="24" t="str">
        <x:v>10.4</x:v>
      </x:c>
      <x:c r="L85" s="24" t="str">
        <x:v>Uglevodorodlarning shar-sterjenli va masshtabli modellarini yasash</x:v>
      </x:c>
      <x:c r="M85" s="24" t="str">
        <x:v>Qisman mavjud</x:v>
      </x:c>
      <x:c r="N85" s="24" t="str">
        <x:v>Gomologik qator generatori</x:v>
      </x:c>
      <x:c r="O85" s="24" t="str">
        <x:v>10.4 uglevodorod modellarini yasash bilan bog‘lanadi.</x:v>
      </x:c>
      <x:c r="P85" s="24" t="str">
        <x:v>KimyoLab_v19.html</x:v>
      </x:c>
    </x:row>
    <x:row r="86">
      <x:c r="A86" s="24" t="n">
        <x:v>82</x:v>
      </x:c>
      <x:c r="B86" s="24" t="str">
        <x:v>10-sinf</x:v>
      </x:c>
      <x:c r="C86" s="24" t="str">
        <x:v>10.09</x:v>
      </x:c>
      <x:c r="D86" s="24" t="str">
        <x:v>Alkanlar izomeriyasi va nomlanishi</x:v>
      </x:c>
      <x:c r="E86" s="24" t="str">
        <x:v>II bob, 2.2, 43-45-betlar</x:v>
      </x:c>
      <x:c r="F86" s="24" t="str">
        <x:v>Zanjir izomeriyasi, nomlash</x:v>
      </x:c>
      <x:c r="G86" s="24" t="str">
        <x:v>Izomer topish o‘yini</x:v>
      </x:c>
      <x:c r="H86" s="24" t="str">
        <x:v>Berilgan formuladan barcha izomerlarni yig‘ish</x:v>
      </x:c>
      <x:c r="I86" s="24" t="str">
        <x:v>Trenajyor</x:v>
      </x:c>
      <x:c r="J86" s="24" t="str">
        <x:v>Simulyatsiya; Lab</x:v>
      </x:c>
      <x:c r="K86" s="24" t="str">
        <x:v>10.4</x:v>
      </x:c>
      <x:c r="L86" s="24" t="str">
        <x:v>Uglevodorodlarning shar-sterjenli va masshtabli modellarini yasash</x:v>
      </x:c>
      <x:c r="M86" s="24" t="str">
        <x:v>Qisman mavjud</x:v>
      </x:c>
      <x:c r="N86" s="24" t="str">
        <x:v>Alkan izomerlarini qurish va nomlash o‘yini</x:v>
      </x:c>
      <x:c r="O86" s="24" t="str">
        <x:v>10.4 fizik model qurish amaliy tayanch.</x:v>
      </x:c>
      <x:c r="P86" s="24" t="str">
        <x:v>KimyoLab_v19.html</x:v>
      </x:c>
    </x:row>
    <x:row r="87">
      <x:c r="A87" s="24" t="n">
        <x:v>83</x:v>
      </x:c>
      <x:c r="B87" s="24" t="str">
        <x:v>10-sinf</x:v>
      </x:c>
      <x:c r="C87" s="24" t="str">
        <x:v>10.10</x:v>
      </x:c>
      <x:c r="D87" s="24" t="str">
        <x:v>Alkanlarning olinishi, xossalari va ishlatilishi</x:v>
      </x:c>
      <x:c r="E87" s="24" t="str">
        <x:v>II bob, 2.3-2.4, 46-50-betlar</x:v>
      </x:c>
      <x:c r="F87" s="24" t="str">
        <x:v>Yonish, o‘rin olish, kreking</x:v>
      </x:c>
      <x:c r="G87" s="24" t="str">
        <x:v>Reaksiya xaritasi</x:v>
      </x:c>
      <x:c r="H87" s="24" t="str">
        <x:v>Sharoitni tanlab reaksiyani ishga tushirish</x:v>
      </x:c>
      <x:c r="I87" s="24" t="str">
        <x:v>Simulyatsiya</x:v>
      </x:c>
      <x:c r="J87" s="24" t="str">
        <x:v>Lab; Trenajyor</x:v>
      </x:c>
      <x:c r="K87" s="24" t="str">
        <x:v>10.10</x:v>
      </x:c>
      <x:c r="L87" s="24" t="str">
        <x:v>Organik birikmalarni xos reaksiyalar asosida aniqlash</x:v>
      </x:c>
      <x:c r="M87" s="24" t="str">
        <x:v>Qisman mavjud</x:v>
      </x:c>
      <x:c r="N87" s="24" t="str">
        <x:v>Alkan reaksiyalari xaritasi va sharoit tanlash</x:v>
      </x:c>
      <x:c r="O87" s="24" t="str">
        <x:v>10.10 umumiy organik aniqlash ishida alkanlarga tegishli xos reaksiyalar bo‘lishi mumkin, lekin maxsus tajriba yo‘q.</x:v>
      </x:c>
      <x:c r="P87" s="24" t="str">
        <x:v>KimyoLab_v19.html</x:v>
      </x:c>
    </x:row>
    <x:row r="88">
      <x:c r="A88" s="24" t="n">
        <x:v>84</x:v>
      </x:c>
      <x:c r="B88" s="24" t="str">
        <x:v>10-sinf</x:v>
      </x:c>
      <x:c r="C88" s="24" t="str">
        <x:v>10.11</x:v>
      </x:c>
      <x:c r="D88" s="24" t="str">
        <x:v>Sikloalkanlar</x:v>
      </x:c>
      <x:c r="E88" s="24" t="str">
        <x:v>II bob, 2.5-2.6, 51-55-betlar</x:v>
      </x:c>
      <x:c r="F88" s="24" t="str">
        <x:v>Halqa tuzilishi, izomeriya</x:v>
      </x:c>
      <x:c r="G88" s="24" t="str">
        <x:v>3D halqa modeli</x:v>
      </x:c>
      <x:c r="H88" s="24" t="str">
        <x:v>Halqa o‘lchamini va yon guruhlarni o‘zgartirish</x:v>
      </x:c>
      <x:c r="I88" s="24" t="str">
        <x:v>Simulyatsiya</x:v>
      </x:c>
      <x:c r="J88" s="24" t="str"/>
      <x:c r="K88" s="24" t="str"/>
      <x:c r="L88" s="24" t="str"/>
      <x:c r="M88" s="24" t="str">
        <x:v>Yangi kerak</x:v>
      </x:c>
      <x:c r="N88" s="24" t="str">
        <x:v>3D sikloalkan halqa modeli</x:v>
      </x:c>
      <x:c r="O88" s="24" t="str">
        <x:v>Mavzu strukturaviy; maxsus laboratoriya talab qilmaydi.</x:v>
      </x:c>
      <x:c r="P88" s="24" t="str">
        <x:v>KimyoLab_v19.html</x:v>
      </x:c>
    </x:row>
    <x:row r="89">
      <x:c r="A89" s="24" t="n">
        <x:v>85</x:v>
      </x:c>
      <x:c r="B89" s="24" t="str">
        <x:v>10-sinf</x:v>
      </x:c>
      <x:c r="C89" s="24" t="str">
        <x:v>10.12</x:v>
      </x:c>
      <x:c r="D89" s="24" t="str">
        <x:v>Alkenlar</x:v>
      </x:c>
      <x:c r="E89" s="24" t="str">
        <x:v>II bob, 2.7-2.8, 56-61-betlar</x:v>
      </x:c>
      <x:c r="F89" s="24" t="str">
        <x:v>Qo‘shbog‘, birikish, polimerlanish</x:v>
      </x:c>
      <x:c r="G89" s="24" t="str">
        <x:v>Qo‘shbog‘ animatsiyasi</x:v>
      </x:c>
      <x:c r="H89" s="24" t="str">
        <x:v>Reagent tanlab birikish mahsulotini ko‘rish</x:v>
      </x:c>
      <x:c r="I89" s="24" t="str">
        <x:v>Lab</x:v>
      </x:c>
      <x:c r="J89" s="24" t="str">
        <x:v>Simulyatsiya; Trenajyor</x:v>
      </x:c>
      <x:c r="K89" s="24" t="str">
        <x:v>10.3</x:v>
      </x:c>
      <x:c r="L89" s="24" t="str">
        <x:v>Etilenning olinishi va xossalarini o‘rganish</x:v>
      </x:c>
      <x:c r="M89" s="24" t="str">
        <x:v>Mavjud</x:v>
      </x:c>
      <x:c r="N89" s="24" t="str">
        <x:v>Etilen qo‘shilish reaksiyalari simulyatori</x:v>
      </x:c>
      <x:c r="O89" s="24" t="str">
        <x:v>10.3 etilen olish va xossalari bevosita mos.</x:v>
      </x:c>
      <x:c r="P89" s="24" t="str">
        <x:v>KimyoLab_v19.html</x:v>
      </x:c>
    </x:row>
    <x:row r="90">
      <x:c r="A90" s="24" t="n">
        <x:v>86</x:v>
      </x:c>
      <x:c r="B90" s="24" t="str">
        <x:v>10-sinf</x:v>
      </x:c>
      <x:c r="C90" s="24" t="str">
        <x:v>10.13</x:v>
      </x:c>
      <x:c r="D90" s="24" t="str">
        <x:v>Alkadiyenlar, kauchuk va rezina</x:v>
      </x:c>
      <x:c r="E90" s="24" t="str">
        <x:v>II bob, 2.10-2.12, 63-71-betlar</x:v>
      </x:c>
      <x:c r="F90" s="24" t="str">
        <x:v>Konjugatsiya, polimerlanish, vulkanizatsiya</x:v>
      </x:c>
      <x:c r="G90" s="24" t="str">
        <x:v>Polimer zanjiri animatsiyasi</x:v>
      </x:c>
      <x:c r="H90" s="24" t="str">
        <x:v>Monomerdan polimer va rezina hosil qilish</x:v>
      </x:c>
      <x:c r="I90" s="24" t="str">
        <x:v>Simulyatsiya</x:v>
      </x:c>
      <x:c r="J90" s="24" t="str">
        <x:v>Case</x:v>
      </x:c>
      <x:c r="K90" s="24" t="str"/>
      <x:c r="L90" s="24" t="str"/>
      <x:c r="M90" s="24" t="str">
        <x:v>Yangi kerak</x:v>
      </x:c>
      <x:c r="N90" s="24" t="str">
        <x:v>Diyen polimerlanishi: kauchuk→rezina zanjiri</x:v>
      </x:c>
      <x:c r="O90" s="24" t="str">
        <x:v>Polimerlanish va material xossalarini model/case bilan bog‘lash kerak.</x:v>
      </x:c>
      <x:c r="P90" s="24" t="str">
        <x:v>KimyoLab_v19.html</x:v>
      </x:c>
    </x:row>
    <x:row r="91">
      <x:c r="A91" s="24" t="n">
        <x:v>87</x:v>
      </x:c>
      <x:c r="B91" s="24" t="str">
        <x:v>10-sinf</x:v>
      </x:c>
      <x:c r="C91" s="24" t="str">
        <x:v>10.14</x:v>
      </x:c>
      <x:c r="D91" s="24" t="str">
        <x:v>Alkinlar</x:v>
      </x:c>
      <x:c r="E91" s="24" t="str">
        <x:v>II bob, 2.13-2.14, 72-76-betlar</x:v>
      </x:c>
      <x:c r="F91" s="24" t="str">
        <x:v>Uchbog‘, asetilen, birikish</x:v>
      </x:c>
      <x:c r="G91" s="24" t="str">
        <x:v>Bog‘ animatsiyasi</x:v>
      </x:c>
      <x:c r="H91" s="24" t="str">
        <x:v>Uchbog‘ga bosqichma-bosqich reagent qo‘shish</x:v>
      </x:c>
      <x:c r="I91" s="24" t="str">
        <x:v>Simulyatsiya</x:v>
      </x:c>
      <x:c r="J91" s="24" t="str">
        <x:v>Trenajyor</x:v>
      </x:c>
      <x:c r="K91" s="24" t="str"/>
      <x:c r="L91" s="24" t="str"/>
      <x:c r="M91" s="24" t="str">
        <x:v>Yangi kerak</x:v>
      </x:c>
      <x:c r="N91" s="24" t="str">
        <x:v>Alkin uchbog‘iga bosqichli qo‘shilish simulyatsiyasi</x:v>
      </x:c>
      <x:c r="O91" s="24" t="str">
        <x:v>Katalogda maxsus alkin amaliyoti yo‘q.</x:v>
      </x:c>
      <x:c r="P91" s="24" t="str">
        <x:v>KimyoLab_v19.html</x:v>
      </x:c>
    </x:row>
    <x:row r="92">
      <x:c r="A92" s="24" t="n">
        <x:v>88</x:v>
      </x:c>
      <x:c r="B92" s="24" t="str">
        <x:v>10-sinf</x:v>
      </x:c>
      <x:c r="C92" s="24" t="str">
        <x:v>10.15</x:v>
      </x:c>
      <x:c r="D92" s="24" t="str">
        <x:v>Aromatik uglevodorodlar va stirol</x:v>
      </x:c>
      <x:c r="E92" s="24" t="str">
        <x:v>II bob, 2.15-2.17, 77-83-betlar</x:v>
      </x:c>
      <x:c r="F92" s="24" t="str">
        <x:v>Benzol halqasi, aromatiklik, stirol</x:v>
      </x:c>
      <x:c r="G92" s="24" t="str">
        <x:v>3D benzol va polistirol modeli</x:v>
      </x:c>
      <x:c r="H92" s="24" t="str">
        <x:v>Halqa va yon guruhlarni o‘zgartirish</x:v>
      </x:c>
      <x:c r="I92" s="24" t="str">
        <x:v>Simulyatsiya</x:v>
      </x:c>
      <x:c r="J92" s="24" t="str">
        <x:v>Case</x:v>
      </x:c>
      <x:c r="K92" s="24" t="str"/>
      <x:c r="L92" s="24" t="str"/>
      <x:c r="M92" s="24" t="str">
        <x:v>Yangi kerak</x:v>
      </x:c>
      <x:c r="N92" s="24" t="str">
        <x:v>Benzol/stiren/polistirol 3D model va qo‘llanish case’i</x:v>
      </x:c>
      <x:c r="O92" s="24" t="str">
        <x:v>Aromatik tuzilish model orqali yaxshiroq o‘zlashtiriladi.</x:v>
      </x:c>
      <x:c r="P92" s="24" t="str">
        <x:v>KimyoLab_v19.html</x:v>
      </x:c>
    </x:row>
    <x:row r="93">
      <x:c r="A93" s="24" t="n">
        <x:v>89</x:v>
      </x:c>
      <x:c r="B93" s="24" t="str">
        <x:v>10-sinf</x:v>
      </x:c>
      <x:c r="C93" s="24" t="str">
        <x:v>10.16</x:v>
      </x:c>
      <x:c r="D93" s="24" t="str">
        <x:v>Tabiiy gaz, neftni qayta ishlash va toshko‘mir</x:v>
      </x:c>
      <x:c r="E93" s="24" t="str">
        <x:v>II bob, 2.18-2.20, 84-94-betlar</x:v>
      </x:c>
      <x:c r="F93" s="24" t="str">
        <x:v>Fraksion haydash, kreking, tabiiy manbalar</x:v>
      </x:c>
      <x:c r="G93" s="24" t="str">
        <x:v>Sanoat texnologik xaritasi</x:v>
      </x:c>
      <x:c r="H93" s="24" t="str">
        <x:v>Harorat zonalari bo‘yicha fraksiyalarni joylashtirish</x:v>
      </x:c>
      <x:c r="I93" s="24" t="str">
        <x:v>Case</x:v>
      </x:c>
      <x:c r="J93" s="24" t="str">
        <x:v>Simulyatsiya</x:v>
      </x:c>
      <x:c r="K93" s="24" t="str"/>
      <x:c r="L93" s="24" t="str"/>
      <x:c r="M93" s="24" t="str">
        <x:v>Yangi kerak</x:v>
      </x:c>
      <x:c r="N93" s="24" t="str">
        <x:v>Neft fraksiyalash va gaz/ko‘mir qayta ishlash texnologik simulyatsiyasi</x:v>
      </x:c>
      <x:c r="O93" s="24" t="str">
        <x:v>Sanoat-texnologik mavzu; laboratoriya katalogida mos ish yo‘q.</x:v>
      </x:c>
      <x:c r="P93" s="24" t="str">
        <x:v>KimyoLab_v19.html</x:v>
      </x:c>
    </x:row>
    <x:row r="94">
      <x:c r="A94" s="24" t="n">
        <x:v>90</x:v>
      </x:c>
      <x:c r="B94" s="24" t="str">
        <x:v>10-sinf</x:v>
      </x:c>
      <x:c r="C94" s="24" t="str">
        <x:v>10.17</x:v>
      </x:c>
      <x:c r="D94" s="24" t="str">
        <x:v>Bir atomli spirtlar</x:v>
      </x:c>
      <x:c r="E94" s="24" t="str">
        <x:v>III bob, 3.1-3.2, 107-114-betlar</x:v>
      </x:c>
      <x:c r="F94" s="24" t="str">
        <x:v>OH guruh, gomologik qator, oksidlanish</x:v>
      </x:c>
      <x:c r="G94" s="24" t="str">
        <x:v>Molekula va reaksiya xaritasi</x:v>
      </x:c>
      <x:c r="H94" s="24" t="str">
        <x:v>Spirtni tanlab xossa va qo‘llanishini ko‘rish</x:v>
      </x:c>
      <x:c r="I94" s="24" t="str">
        <x:v>Lab</x:v>
      </x:c>
      <x:c r="J94" s="24" t="str">
        <x:v>Simulyatsiya; Trenajyor</x:v>
      </x:c>
      <x:c r="K94" s="24" t="str">
        <x:v>10.6</x:v>
      </x:c>
      <x:c r="L94" s="24" t="str">
        <x:v>Spirtlar va aldegidlarga xos reaksiyalar</x:v>
      </x:c>
      <x:c r="M94" s="24" t="str">
        <x:v>Mavjud</x:v>
      </x:c>
      <x:c r="N94" s="24" t="str">
        <x:v>Bir atomli spirtlarning reaksiyalar xaritasi</x:v>
      </x:c>
      <x:c r="O94" s="24" t="str">
        <x:v>10.6 spirtlarga xos reaksiyalarni bevosita o‘tkazadi.</x:v>
      </x:c>
      <x:c r="P94" s="24" t="str">
        <x:v>KimyoLab_v19.html</x:v>
      </x:c>
    </x:row>
    <x:row r="95">
      <x:c r="A95" s="24" t="n">
        <x:v>91</x:v>
      </x:c>
      <x:c r="B95" s="24" t="str">
        <x:v>10-sinf</x:v>
      </x:c>
      <x:c r="C95" s="24" t="str">
        <x:v>10.18</x:v>
      </x:c>
      <x:c r="D95" s="24" t="str">
        <x:v>Ko‘p atomli spirtlar: etilenglikol va glitserin</x:v>
      </x:c>
      <x:c r="E95" s="24" t="str">
        <x:v>III bob, 3.3-3.4, 115-121-betlar</x:v>
      </x:c>
      <x:c r="F95" s="24" t="str">
        <x:v>Ko‘p OH guruh, xossalar</x:v>
      </x:c>
      <x:c r="G95" s="24" t="str">
        <x:v>3D molekula taqqoslash</x:v>
      </x:c>
      <x:c r="H95" s="24" t="str">
        <x:v>OH guruhlar soni va xossani bog‘lash</x:v>
      </x:c>
      <x:c r="I95" s="24" t="str">
        <x:v>Lab</x:v>
      </x:c>
      <x:c r="J95" s="24" t="str">
        <x:v>Simulyatsiya</x:v>
      </x:c>
      <x:c r="K95" s="24" t="str">
        <x:v>10.5</x:v>
      </x:c>
      <x:c r="L95" s="24" t="str">
        <x:v>Ko‘p atomli spirtlarga oid tajribalar</x:v>
      </x:c>
      <x:c r="M95" s="24" t="str">
        <x:v>Mavjud</x:v>
      </x:c>
      <x:c r="N95" s="24" t="str">
        <x:v>OH guruhlar soni va xossa taqqoslash modeli</x:v>
      </x:c>
      <x:c r="O95" s="24" t="str">
        <x:v>10.5 ko‘p atomli spirtlarga oid tajribalar bevosita mos.</x:v>
      </x:c>
      <x:c r="P95" s="24" t="str">
        <x:v>KimyoLab_v19.html</x:v>
      </x:c>
    </x:row>
    <x:row r="96">
      <x:c r="A96" s="24" t="n">
        <x:v>92</x:v>
      </x:c>
      <x:c r="B96" s="24" t="str">
        <x:v>10-sinf</x:v>
      </x:c>
      <x:c r="C96" s="24" t="str">
        <x:v>10.19</x:v>
      </x:c>
      <x:c r="D96" s="24" t="str">
        <x:v>Fenollar va aromatik spirtlar</x:v>
      </x:c>
      <x:c r="E96" s="24" t="str">
        <x:v>III bob, 3.6-3.7, 123-129-betlar</x:v>
      </x:c>
      <x:c r="F96" s="24" t="str">
        <x:v>Fenol, benzol halqasi, OH ta’siri</x:v>
      </x:c>
      <x:c r="G96" s="24" t="str">
        <x:v>Taqqoslash modeli</x:v>
      </x:c>
      <x:c r="H96" s="24" t="str">
        <x:v>Spirt va fenol reaktivligini solishtirish</x:v>
      </x:c>
      <x:c r="I96" s="24" t="str">
        <x:v>Lab</x:v>
      </x:c>
      <x:c r="J96" s="24" t="str">
        <x:v>Simulyatsiya</x:v>
      </x:c>
      <x:c r="K96" s="24" t="str">
        <x:v>10.10</x:v>
      </x:c>
      <x:c r="L96" s="24" t="str">
        <x:v>Organik birikmalarni xos reaksiyalar asosida aniqlash</x:v>
      </x:c>
      <x:c r="M96" s="24" t="str">
        <x:v>Qisman mavjud</x:v>
      </x:c>
      <x:c r="N96" s="24" t="str">
        <x:v>Spirt–fenol reaktivligi taqqoslash tajribasi</x:v>
      </x:c>
      <x:c r="O96" s="24" t="str">
        <x:v>10.10 organik birikmalarni xos reaksiyalar bilan aniqlash qo‘llab-quvvatlaydi; maxsus fenol ssenariysi kerak.</x:v>
      </x:c>
      <x:c r="P96" s="24" t="str">
        <x:v>KimyoLab_v19.html</x:v>
      </x:c>
    </x:row>
    <x:row r="97">
      <x:c r="A97" s="24" t="n">
        <x:v>93</x:v>
      </x:c>
      <x:c r="B97" s="24" t="str">
        <x:v>10-sinf</x:v>
      </x:c>
      <x:c r="C97" s="24" t="str">
        <x:v>10.20</x:v>
      </x:c>
      <x:c r="D97" s="24" t="str">
        <x:v>Oddiy efirlar</x:v>
      </x:c>
      <x:c r="E97" s="24" t="str">
        <x:v>III bob, 3.8, 130-132-betlar</x:v>
      </x:c>
      <x:c r="F97" s="24" t="str">
        <x:v>R-O-R tuzilishi, olinishi</x:v>
      </x:c>
      <x:c r="G97" s="24" t="str">
        <x:v>Molekula modeli</x:v>
      </x:c>
      <x:c r="H97" s="24" t="str">
        <x:v>Radikallarni tanlab efir yaratish</x:v>
      </x:c>
      <x:c r="I97" s="24" t="str">
        <x:v>Simulyatsiya</x:v>
      </x:c>
      <x:c r="J97" s="24" t="str">
        <x:v>Trenajyor</x:v>
      </x:c>
      <x:c r="K97" s="24" t="str"/>
      <x:c r="L97" s="24" t="str"/>
      <x:c r="M97" s="24" t="str">
        <x:v>Yangi kerak</x:v>
      </x:c>
      <x:c r="N97" s="24" t="str">
        <x:v>Oddiy efir molekula konstruktori</x:v>
      </x:c>
      <x:c r="O97" s="24" t="str">
        <x:v>Mavzu strukturaviy; katalogda maxsus amaliy ish yo‘q.</x:v>
      </x:c>
      <x:c r="P97" s="24" t="str">
        <x:v>KimyoLab_v19.html</x:v>
      </x:c>
    </x:row>
    <x:row r="98">
      <x:c r="A98" s="24" t="n">
        <x:v>94</x:v>
      </x:c>
      <x:c r="B98" s="24" t="str">
        <x:v>10-sinf</x:v>
      </x:c>
      <x:c r="C98" s="24" t="str">
        <x:v>10.21</x:v>
      </x:c>
      <x:c r="D98" s="24" t="str">
        <x:v>Aldegidlar va ketonlar</x:v>
      </x:c>
      <x:c r="E98" s="24" t="str">
        <x:v>III bob, 3.9 va 3.11, 133-139-betlar</x:v>
      </x:c>
      <x:c r="F98" s="24" t="str">
        <x:v>Karbonil guruh, farqlar, oksidlanish</x:v>
      </x:c>
      <x:c r="G98" s="24" t="str">
        <x:v>Funksional guruh taqqoslash</x:v>
      </x:c>
      <x:c r="H98" s="24" t="str">
        <x:v>Tuzilmani bosib sinfini aniqlash</x:v>
      </x:c>
      <x:c r="I98" s="24" t="str">
        <x:v>Lab</x:v>
      </x:c>
      <x:c r="J98" s="24" t="str">
        <x:v>Simulyatsiya; Trenajyor</x:v>
      </x:c>
      <x:c r="K98" s="24" t="str">
        <x:v>10.6; 10.10</x:v>
      </x:c>
      <x:c r="L98" s="24" t="str">
        <x:v>Spirtlar va aldegidlarga xos reaksiyalar; Organik birikmalarni xos reaksiyalar asosida aniqlash</x:v>
      </x:c>
      <x:c r="M98" s="24" t="str">
        <x:v>Mavjud</x:v>
      </x:c>
      <x:c r="N98" s="24" t="str">
        <x:v>Aldegid/keton funksional guruh va sifat reaksiyalari</x:v>
      </x:c>
      <x:c r="O98" s="24" t="str">
        <x:v>10.6 aldehidlarga xos, 10.10 aniqlash amaliyoti bevosita mos.</x:v>
      </x:c>
      <x:c r="P98" s="24" t="str">
        <x:v>KimyoLab_v19.html</x:v>
      </x:c>
    </x:row>
    <x:row r="99">
      <x:c r="A99" s="24" t="n">
        <x:v>95</x:v>
      </x:c>
      <x:c r="B99" s="24" t="str">
        <x:v>10-sinf</x:v>
      </x:c>
      <x:c r="C99" s="24" t="str">
        <x:v>10.22</x:v>
      </x:c>
      <x:c r="D99" s="24" t="str">
        <x:v>Karbon kislotalar</x:v>
      </x:c>
      <x:c r="E99" s="24" t="str">
        <x:v>III bob, 3.12, 140-145-betlar</x:v>
      </x:c>
      <x:c r="F99" s="24" t="str">
        <x:v>COOH guruh, kislotalik, gomologik qator</x:v>
      </x:c>
      <x:c r="G99" s="24" t="str">
        <x:v>Reaksiya xaritasi</x:v>
      </x:c>
      <x:c r="H99" s="24" t="str">
        <x:v>Kislota turini tanlab reaksiyalarni ochish</x:v>
      </x:c>
      <x:c r="I99" s="24" t="str">
        <x:v>Lab</x:v>
      </x:c>
      <x:c r="J99" s="24" t="str">
        <x:v>Simulyatsiya</x:v>
      </x:c>
      <x:c r="K99" s="24" t="str">
        <x:v>10.10</x:v>
      </x:c>
      <x:c r="L99" s="24" t="str">
        <x:v>Organik birikmalarni xos reaksiyalar asosida aniqlash</x:v>
      </x:c>
      <x:c r="M99" s="24" t="str">
        <x:v>Qisman mavjud</x:v>
      </x:c>
      <x:c r="N99" s="24" t="str">
        <x:v>Karbon kislota reaksiyalari xaritasi</x:v>
      </x:c>
      <x:c r="O99" s="24" t="str">
        <x:v>10.10 xos reaksiyalar orqali qo‘llab-quvvatlaydi; maxsus kislota tajribasi tavsiya etiladi.</x:v>
      </x:c>
      <x:c r="P99" s="24" t="str">
        <x:v>KimyoLab_v19.html</x:v>
      </x:c>
    </x:row>
    <x:row r="100">
      <x:c r="A100" s="24" t="n">
        <x:v>96</x:v>
      </x:c>
      <x:c r="B100" s="24" t="str">
        <x:v>10-sinf</x:v>
      </x:c>
      <x:c r="C100" s="24" t="str">
        <x:v>10.23</x:v>
      </x:c>
      <x:c r="D100" s="24" t="str">
        <x:v>Murakkab efirlar</x:v>
      </x:c>
      <x:c r="E100" s="24" t="str">
        <x:v>III bob, 3.14, 146-151-betlar</x:v>
      </x:c>
      <x:c r="F100" s="24" t="str">
        <x:v>Esterifikatsiya, hid, qo‘llanish</x:v>
      </x:c>
      <x:c r="G100" s="24" t="str">
        <x:v>Molekula va hidlar galereyasi</x:v>
      </x:c>
      <x:c r="H100" s="24" t="str">
        <x:v>Kislota va spirt tanlab efir hosil qilish</x:v>
      </x:c>
      <x:c r="I100" s="24" t="str">
        <x:v>Lab</x:v>
      </x:c>
      <x:c r="J100" s="24" t="str">
        <x:v>Simulyatsiya</x:v>
      </x:c>
      <x:c r="K100" s="24" t="str">
        <x:v>10.7</x:v>
      </x:c>
      <x:c r="L100" s="24" t="str">
        <x:v>O‘simliklar tarkibidagi murakkab efirlar</x:v>
      </x:c>
      <x:c r="M100" s="24" t="str">
        <x:v>Mavjud</x:v>
      </x:c>
      <x:c r="N100" s="24" t="str">
        <x:v>Esterifikatsiya: kislota + spirt → efir</x:v>
      </x:c>
      <x:c r="O100" s="24" t="str">
        <x:v>10.7 o‘simliklardagi murakkab efirlar mavzuni amaliy bog‘laydi; esterifikatsiya ssenariysi bilan kuchaytiriladi.</x:v>
      </x:c>
      <x:c r="P100" s="24" t="str">
        <x:v>KimyoLab_v19.html</x:v>
      </x:c>
    </x:row>
    <x:row r="101">
      <x:c r="A101" s="24" t="n">
        <x:v>97</x:v>
      </x:c>
      <x:c r="B101" s="24" t="str">
        <x:v>10-sinf</x:v>
      </x:c>
      <x:c r="C101" s="24" t="str">
        <x:v>10.24</x:v>
      </x:c>
      <x:c r="D101" s="24" t="str">
        <x:v>Yog‘lar</x:v>
      </x:c>
      <x:c r="E101" s="24" t="str">
        <x:v>III bob, 3.16, 152-155-betlar</x:v>
      </x:c>
      <x:c r="F101" s="24" t="str">
        <x:v>Triglitserid, gidroliz, sovunlanish</x:v>
      </x:c>
      <x:c r="G101" s="24" t="str">
        <x:v>Molekula modeli</x:v>
      </x:c>
      <x:c r="H101" s="24" t="str">
        <x:v>Yog‘ tarkibini va sovunlanish zanjirini ko‘rish</x:v>
      </x:c>
      <x:c r="I101" s="24" t="str">
        <x:v>Lab</x:v>
      </x:c>
      <x:c r="J101" s="24" t="str">
        <x:v>Simulyatsiya; Case</x:v>
      </x:c>
      <x:c r="K101" s="24" t="str">
        <x:v>10.8</x:v>
      </x:c>
      <x:c r="L101" s="24" t="str">
        <x:v>Yog‘lardan sovun olish</x:v>
      </x:c>
      <x:c r="M101" s="24" t="str">
        <x:v>Mavjud</x:v>
      </x:c>
      <x:c r="N101" s="24" t="str">
        <x:v>Yog‘ tarkibi va sovunlanish modeli</x:v>
      </x:c>
      <x:c r="O101" s="24" t="str">
        <x:v>10.8 yog‘lardan sovun olish bevosita mos.</x:v>
      </x:c>
      <x:c r="P101" s="24" t="str">
        <x:v>KimyoLab_v19.html</x:v>
      </x:c>
    </x:row>
    <x:row r="102">
      <x:c r="A102" s="24" t="n">
        <x:v>98</x:v>
      </x:c>
      <x:c r="B102" s="24" t="str">
        <x:v>10-sinf</x:v>
      </x:c>
      <x:c r="C102" s="24" t="str">
        <x:v>10.25</x:v>
      </x:c>
      <x:c r="D102" s="24" t="str">
        <x:v>Uglevodlar: mono-, di- va polisaxaridlar</x:v>
      </x:c>
      <x:c r="E102" s="24" t="str">
        <x:v>III bob, 3.18-3.20, 156-168-betlar</x:v>
      </x:c>
      <x:c r="F102" s="24" t="str">
        <x:v>Glyukoza, saxaroza, kraxmal, sellyuloza</x:v>
      </x:c>
      <x:c r="G102" s="24" t="str">
        <x:v>Molekula taqqoslash va polimer zanjiri</x:v>
      </x:c>
      <x:c r="H102" s="24" t="str">
        <x:v>Uglevodlarni tuzilishiga ko‘ra ajratish</x:v>
      </x:c>
      <x:c r="I102" s="24" t="str">
        <x:v>Lab</x:v>
      </x:c>
      <x:c r="J102" s="24" t="str">
        <x:v>Simulyatsiya; Trenajyor</x:v>
      </x:c>
      <x:c r="K102" s="24" t="str">
        <x:v>10.9</x:v>
      </x:c>
      <x:c r="L102" s="24" t="str">
        <x:v>Uglevodlarga oid tajribalar</x:v>
      </x:c>
      <x:c r="M102" s="24" t="str">
        <x:v>Mavjud</x:v>
      </x:c>
      <x:c r="N102" s="24" t="str">
        <x:v>Uglevodlarni sifat reaksiyalari va tuzilish bo‘yicha ajratish</x:v>
      </x:c>
      <x:c r="O102" s="24" t="str">
        <x:v>10.9 uglevodlarga oid tajribalar bevosita mos.</x:v>
      </x:c>
      <x:c r="P102" s="24" t="str">
        <x:v>KimyoLab_v19.html</x:v>
      </x:c>
    </x:row>
    <x:row r="103">
      <x:c r="A103" s="24" t="n">
        <x:v>99</x:v>
      </x:c>
      <x:c r="B103" s="24" t="str">
        <x:v>10-sinf</x:v>
      </x:c>
      <x:c r="C103" s="24" t="str">
        <x:v>10.26</x:v>
      </x:c>
      <x:c r="D103" s="24" t="str">
        <x:v>Tabiiy va sun’iy tolalar</x:v>
      </x:c>
      <x:c r="E103" s="24" t="str">
        <x:v>III bob, 3.22, 169-172-betlar</x:v>
      </x:c>
      <x:c r="F103" s="24" t="str">
        <x:v>Sellyuloza, sintetik tola, xossa</x:v>
      </x:c>
      <x:c r="G103" s="24" t="str">
        <x:v>Materiallar galereyasi</x:v>
      </x:c>
      <x:c r="H103" s="24" t="str">
        <x:v>Tolalarni manba va xossaga ko‘ra tasniflash</x:v>
      </x:c>
      <x:c r="I103" s="24" t="str">
        <x:v>Case</x:v>
      </x:c>
      <x:c r="J103" s="24" t="str">
        <x:v>Lab; Simulyatsiya</x:v>
      </x:c>
      <x:c r="K103" s="24" t="str">
        <x:v>10.11</x:v>
      </x:c>
      <x:c r="L103" s="24" t="str">
        <x:v>Qog‘ozni qayta ishlash</x:v>
      </x:c>
      <x:c r="M103" s="24" t="str">
        <x:v>Qisman mavjud</x:v>
      </x:c>
      <x:c r="N103" s="24" t="str">
        <x:v>Tabiiy/sun’iy tolalarni xossa va manba bo‘yicha tasniflash</x:v>
      </x:c>
      <x:c r="O103" s="24" t="str">
        <x:v>10.11 qog‘ozni qayta ishlash sellyuloza/material oqimi bilan bog‘lanadi, ammo tolalar uchun maxsus case kerak.</x:v>
      </x:c>
      <x:c r="P103" s="24" t="str">
        <x:v>KimyoLab_v19.html</x:v>
      </x:c>
    </x:row>
    <x:row r="104">
      <x:c r="A104" s="24" t="n">
        <x:v>100</x:v>
      </x:c>
      <x:c r="B104" s="24" t="str">
        <x:v>10-sinf</x:v>
      </x:c>
      <x:c r="C104" s="24" t="str">
        <x:v>10.27</x:v>
      </x:c>
      <x:c r="D104" s="24" t="str">
        <x:v>Organik sanoat, chiqindilar va qayta ishlash</x:v>
      </x:c>
      <x:c r="E104" s="24" t="str">
        <x:v>IV bob, 4.1-4.2, 182-188-betlar</x:v>
      </x:c>
      <x:c r="F104" s="24" t="str">
        <x:v>Sanoat, chiqindi, resurs aylanishi</x:v>
      </x:c>
      <x:c r="G104" s="24" t="str">
        <x:v>Aylana iqtisodiyot sxemasi</x:v>
      </x:c>
      <x:c r="H104" s="24" t="str">
        <x:v>Chiqindini qayta ishlash yo‘liga joylashtirish</x:v>
      </x:c>
      <x:c r="I104" s="24" t="str">
        <x:v>Case</x:v>
      </x:c>
      <x:c r="J104" s="24" t="str">
        <x:v>Lab; Simulyatsiya</x:v>
      </x:c>
      <x:c r="K104" s="24" t="str">
        <x:v>10.11</x:v>
      </x:c>
      <x:c r="L104" s="24" t="str">
        <x:v>Qog‘ozni qayta ishlash</x:v>
      </x:c>
      <x:c r="M104" s="24" t="str">
        <x:v>Mavjud</x:v>
      </x:c>
      <x:c r="N104" s="24" t="str">
        <x:v>Organik chiqindi uchun qayta ishlash yo‘lini tanlash case’i</x:v>
      </x:c>
      <x:c r="O104" s="24" t="str">
        <x:v>10.11 qayta ishlash amaliyoti bevosita aylana iqtisodiyotga ulanadi.</x:v>
      </x:c>
      <x:c r="P104" s="24" t="str">
        <x:v>KimyoLab_v19.html</x:v>
      </x:c>
    </x:row>
    <x:row r="105">
      <x:c r="A105" s="24" t="n">
        <x:v>101</x:v>
      </x:c>
      <x:c r="B105" s="24" t="str">
        <x:v>11-sinf</x:v>
      </x:c>
      <x:c r="C105" s="24" t="str">
        <x:v>11.01</x:v>
      </x:c>
      <x:c r="D105" s="24" t="str">
        <x:v>Atom tuzilishi</x:v>
      </x:c>
      <x:c r="E105" s="24" t="str">
        <x:v>1-bob, 1-§, 4-10-betlar</x:v>
      </x:c>
      <x:c r="F105" s="24" t="str">
        <x:v>Rezerford, Bor va kvant modeli; orbital; kvant sonlari; Pauli, Klechkovskiy, Gund qoidalari</x:v>
      </x:c>
      <x:c r="G105" s="24" t="str">
        <x:v>3D orbital va elektron konfiguratsiya vizualizatori</x:v>
      </x:c>
      <x:c r="H105" s="24" t="str">
        <x:v>Atom modelini bosqichma-bosqich almashtirish va elektronlarni orbitallarga joylashtirish</x:v>
      </x:c>
      <x:c r="I105" s="24" t="str">
        <x:v>Simulyatsiya</x:v>
      </x:c>
      <x:c r="J105" s="24" t="str">
        <x:v>Trenajyor</x:v>
      </x:c>
      <x:c r="K105" s="24" t="str"/>
      <x:c r="L105" s="24" t="str"/>
      <x:c r="M105" s="24" t="str">
        <x:v>Yangi kerak</x:v>
      </x:c>
      <x:c r="N105" s="24" t="str">
        <x:v>3D orbital va elektron konfiguratsiya konstruktori</x:v>
      </x:c>
      <x:c r="O105" s="24" t="str">
        <x:v>Atom tuzilishi model/trenajyor orqali o‘zlashtiriladi.</x:v>
      </x:c>
      <x:c r="P105" s="24" t="str">
        <x:v>KimyoLab_v19.html</x:v>
      </x:c>
    </x:row>
    <x:row r="106">
      <x:c r="A106" s="24" t="n">
        <x:v>102</x:v>
      </x:c>
      <x:c r="B106" s="24" t="str">
        <x:v>11-sinf</x:v>
      </x:c>
      <x:c r="C106" s="24" t="str">
        <x:v>11.02</x:v>
      </x:c>
      <x:c r="D106" s="24" t="str">
        <x:v>Davriy qonun va D.I. Mendeleyev davriy sistemasi</x:v>
      </x:c>
      <x:c r="E106" s="24" t="str">
        <x:v>1-bob, 2-§, 11-15-betlar</x:v>
      </x:c>
      <x:c r="F106" s="24" t="str">
        <x:v>Davriylik, atom tuzilishi va xossalar bog‘lanishi</x:v>
      </x:c>
      <x:c r="G106" s="24" t="str">
        <x:v>Trendli davriy jadval</x:v>
      </x:c>
      <x:c r="H106" s="24" t="str">
        <x:v>Xossa filtrlari orqali davr va guruh bo‘yicha trendni ko‘rish</x:v>
      </x:c>
      <x:c r="I106" s="24" t="str">
        <x:v>Simulyatsiya</x:v>
      </x:c>
      <x:c r="J106" s="24" t="str">
        <x:v>Trenajyor</x:v>
      </x:c>
      <x:c r="K106" s="24" t="str"/>
      <x:c r="L106" s="24" t="str"/>
      <x:c r="M106" s="24" t="str">
        <x:v>Yangi kerak</x:v>
      </x:c>
      <x:c r="N106" s="24" t="str">
        <x:v>Davriy trendli jadval</x:v>
      </x:c>
      <x:c r="O106" s="24" t="str">
        <x:v>Davriy qonun uchun interaktiv trendlar asosiy amaliyot.</x:v>
      </x:c>
      <x:c r="P106" s="24" t="str">
        <x:v>KimyoLab_v19.html</x:v>
      </x:c>
    </x:row>
    <x:row r="107">
      <x:c r="A107" s="24" t="n">
        <x:v>103</x:v>
      </x:c>
      <x:c r="B107" s="24" t="str">
        <x:v>11-sinf</x:v>
      </x:c>
      <x:c r="C107" s="24" t="str">
        <x:v>11.03</x:v>
      </x:c>
      <x:c r="D107" s="24" t="str">
        <x:v>Atom tarkibi va yadro reaksiyalari</x:v>
      </x:c>
      <x:c r="E107" s="24" t="str">
        <x:v>1-bob, 3-§, 16-22-betlar</x:v>
      </x:c>
      <x:c r="F107" s="24" t="str">
        <x:v>Yadro zarrachalari, izotop, radioaktiv yemirilish, yadro reaksiya</x:v>
      </x:c>
      <x:c r="G107" s="24" t="str">
        <x:v>Yadro animatsiyasi</x:v>
      </x:c>
      <x:c r="H107" s="24" t="str">
        <x:v>Zarrachalarni tanlab yadro tenglamasini balanslash</x:v>
      </x:c>
      <x:c r="I107" s="24" t="str">
        <x:v>Simulyatsiya</x:v>
      </x:c>
      <x:c r="J107" s="24" t="str">
        <x:v>Trenajyor</x:v>
      </x:c>
      <x:c r="K107" s="24" t="str"/>
      <x:c r="L107" s="24" t="str"/>
      <x:c r="M107" s="24" t="str">
        <x:v>Yangi kerak</x:v>
      </x:c>
      <x:c r="N107" s="24" t="str">
        <x:v>Yadro tenglamalarini balanslash va zarracha modeli</x:v>
      </x:c>
      <x:c r="O107" s="24" t="str">
        <x:v>Yadro reaksiyalari uchun xavfsiz raqamli simulyatsiya zarur.</x:v>
      </x:c>
      <x:c r="P107" s="24" t="str">
        <x:v>KimyoLab_v19.html</x:v>
      </x:c>
    </x:row>
    <x:row r="108">
      <x:c r="A108" s="24" t="n">
        <x:v>104</x:v>
      </x:c>
      <x:c r="B108" s="24" t="str">
        <x:v>11-sinf</x:v>
      </x:c>
      <x:c r="C108" s="24" t="str">
        <x:v>11.04</x:v>
      </x:c>
      <x:c r="D108" s="24" t="str">
        <x:v>Kimyoviy bog‘lanish turlari va kristall panjaralar</x:v>
      </x:c>
      <x:c r="E108" s="24" t="str">
        <x:v>1-bob, 4-§, 23-30-betlar</x:v>
      </x:c>
      <x:c r="F108" s="24" t="str">
        <x:v>Kovalent, ion, metall bog‘lanish; panjara</x:v>
      </x:c>
      <x:c r="G108" s="24" t="str">
        <x:v>3D bog‘ va kristall model</x:v>
      </x:c>
      <x:c r="H108" s="24" t="str">
        <x:v>Panjara turini aylantirib xossalar bilan bog‘lash</x:v>
      </x:c>
      <x:c r="I108" s="24" t="str">
        <x:v>Simulyatsiya</x:v>
      </x:c>
      <x:c r="J108" s="24" t="str">
        <x:v>Trenajyor</x:v>
      </x:c>
      <x:c r="K108" s="24" t="str"/>
      <x:c r="L108" s="24" t="str"/>
      <x:c r="M108" s="24" t="str">
        <x:v>Yangi kerak</x:v>
      </x:c>
      <x:c r="N108" s="24" t="str">
        <x:v>Bog‘lanish va kristall panjara 3D modeli</x:v>
      </x:c>
      <x:c r="O108" s="24" t="str">
        <x:v>Tuzilish–xossa bog‘ini model orqali qo‘llash kerak.</x:v>
      </x:c>
      <x:c r="P108" s="24" t="str">
        <x:v>KimyoLab_v19.html</x:v>
      </x:c>
    </x:row>
    <x:row r="109">
      <x:c r="A109" s="24" t="n">
        <x:v>105</x:v>
      </x:c>
      <x:c r="B109" s="24" t="str">
        <x:v>11-sinf</x:v>
      </x:c>
      <x:c r="C109" s="24" t="str">
        <x:v>11.05</x:v>
      </x:c>
      <x:c r="D109" s="24" t="str">
        <x:v>Modda miqdori</x:v>
      </x:c>
      <x:c r="E109" s="24" t="str">
        <x:v>2-bob, 5-§, 31-33-betlar</x:v>
      </x:c>
      <x:c r="F109" s="24" t="str">
        <x:v>Mol, massa, zarracha soni</x:v>
      </x:c>
      <x:c r="G109" s="24" t="str">
        <x:v>Dinamik kalkulyator</x:v>
      </x:c>
      <x:c r="H109" s="24" t="str">
        <x:v>Bir kattalikni o‘zgartirib qolganlarini ko‘rish</x:v>
      </x:c>
      <x:c r="I109" s="24" t="str">
        <x:v>Hisoblash</x:v>
      </x:c>
      <x:c r="J109" s="24" t="str">
        <x:v>Trenajyor</x:v>
      </x:c>
      <x:c r="K109" s="24" t="str"/>
      <x:c r="L109" s="24" t="str"/>
      <x:c r="M109" s="24" t="str">
        <x:v>Yangi kerak</x:v>
      </x:c>
      <x:c r="N109" s="24" t="str">
        <x:v>n–m–M–N bog‘lanish kalkulyatori</x:v>
      </x:c>
      <x:c r="O109" s="24" t="str">
        <x:v>Modda miqdori sonli mavzu.</x:v>
      </x:c>
      <x:c r="P109" s="24" t="str">
        <x:v>KimyoLab_v19.html</x:v>
      </x:c>
    </x:row>
    <x:row r="110">
      <x:c r="A110" s="24" t="n">
        <x:v>106</x:v>
      </x:c>
      <x:c r="B110" s="24" t="str">
        <x:v>11-sinf</x:v>
      </x:c>
      <x:c r="C110" s="24" t="str">
        <x:v>11.06</x:v>
      </x:c>
      <x:c r="D110" s="24" t="str">
        <x:v>Avogadro qonuni va gazlar aralashmasi</x:v>
      </x:c>
      <x:c r="E110" s="24" t="str">
        <x:v>2-bob, 6-§, 34-38-betlar</x:v>
      </x:c>
      <x:c r="F110" s="24" t="str">
        <x:v>Gaz hajmi, mol, aralashma</x:v>
      </x:c>
      <x:c r="G110" s="24" t="str">
        <x:v>Gaz konteyner simulyatori</x:v>
      </x:c>
      <x:c r="H110" s="24" t="str">
        <x:v>Gaz tarkibi va sharoitini o‘zgartirish</x:v>
      </x:c>
      <x:c r="I110" s="24" t="str">
        <x:v>Hisoblash</x:v>
      </x:c>
      <x:c r="J110" s="24" t="str">
        <x:v>Simulyatsiya</x:v>
      </x:c>
      <x:c r="K110" s="24" t="str"/>
      <x:c r="L110" s="24" t="str"/>
      <x:c r="M110" s="24" t="str">
        <x:v>Yangi kerak</x:v>
      </x:c>
      <x:c r="N110" s="24" t="str">
        <x:v>Gaz aralashmasi va Avogadro qonuni simulyatori</x:v>
      </x:c>
      <x:c r="O110" s="24" t="str">
        <x:v>Gaz tarkibi/hajmi bilan sonli ishlash kerak.</x:v>
      </x:c>
      <x:c r="P110" s="24" t="str">
        <x:v>KimyoLab_v19.html</x:v>
      </x:c>
    </x:row>
    <x:row r="111">
      <x:c r="A111" s="24" t="n">
        <x:v>107</x:v>
      </x:c>
      <x:c r="B111" s="24" t="str">
        <x:v>11-sinf</x:v>
      </x:c>
      <x:c r="C111" s="24" t="str">
        <x:v>11.07</x:v>
      </x:c>
      <x:c r="D111" s="24" t="str">
        <x:v>Ekvivalent</x:v>
      </x:c>
      <x:c r="E111" s="24" t="str">
        <x:v>2-bob, 7-§, 39-44-betlar</x:v>
      </x:c>
      <x:c r="F111" s="24" t="str">
        <x:v>Ekvivalent massa va miqdor</x:v>
      </x:c>
      <x:c r="G111" s="24" t="str">
        <x:v>Hisoblash trenajyori</x:v>
      </x:c>
      <x:c r="H111" s="24" t="str">
        <x:v>Modda tanlab ekvivalentni bosqichma-bosqich aniqlash</x:v>
      </x:c>
      <x:c r="I111" s="24" t="str">
        <x:v>Hisoblash</x:v>
      </x:c>
      <x:c r="J111" s="24" t="str">
        <x:v>Trenajyor</x:v>
      </x:c>
      <x:c r="K111" s="24" t="str"/>
      <x:c r="L111" s="24" t="str"/>
      <x:c r="M111" s="24" t="str">
        <x:v>Yangi kerak</x:v>
      </x:c>
      <x:c r="N111" s="24" t="str">
        <x:v>Ekvivalentni bosqichma-bosqich hisoblash</x:v>
      </x:c>
      <x:c r="O111" s="24" t="str">
        <x:v>Mavzu hisoblash amaliyotiga asoslangan.</x:v>
      </x:c>
      <x:c r="P111" s="24" t="str">
        <x:v>KimyoLab_v19.html</x:v>
      </x:c>
    </x:row>
    <x:row r="112">
      <x:c r="A112" s="24" t="n">
        <x:v>108</x:v>
      </x:c>
      <x:c r="B112" s="24" t="str">
        <x:v>11-sinf</x:v>
      </x:c>
      <x:c r="C112" s="24" t="str">
        <x:v>11.08</x:v>
      </x:c>
      <x:c r="D112" s="24" t="str">
        <x:v>Mendeleyev-Klapeyron tenglamasi</x:v>
      </x:c>
      <x:c r="E112" s="24" t="str">
        <x:v>2-bob, 8-§, 45-50-betlar</x:v>
      </x:c>
      <x:c r="F112" s="24" t="str">
        <x:v>PV=nRT, gaz holati</x:v>
      </x:c>
      <x:c r="G112" s="24" t="str">
        <x:v>Grafik gaz simulyatori</x:v>
      </x:c>
      <x:c r="H112" s="24" t="str">
        <x:v>P, V, T slayderlari bilan o‘zgarishni ko‘rish</x:v>
      </x:c>
      <x:c r="I112" s="24" t="str">
        <x:v>Hisoblash</x:v>
      </x:c>
      <x:c r="J112" s="24" t="str">
        <x:v>Simulyatsiya</x:v>
      </x:c>
      <x:c r="K112" s="24" t="str"/>
      <x:c r="L112" s="24" t="str"/>
      <x:c r="M112" s="24" t="str">
        <x:v>Yangi kerak</x:v>
      </x:c>
      <x:c r="N112" s="24" t="str">
        <x:v>P–V–T gaz tenglamasi simulyatori</x:v>
      </x:c>
      <x:c r="O112" s="24" t="str">
        <x:v>Mendeleyev–Klapeyron tenglamasini slayder va hisob bilan qo‘llash.</x:v>
      </x:c>
      <x:c r="P112" s="24" t="str">
        <x:v>KimyoLab_v19.html</x:v>
      </x:c>
    </x:row>
    <x:row r="113">
      <x:c r="A113" s="24" t="n">
        <x:v>109</x:v>
      </x:c>
      <x:c r="B113" s="24" t="str">
        <x:v>11-sinf</x:v>
      </x:c>
      <x:c r="C113" s="24" t="str">
        <x:v>11.09</x:v>
      </x:c>
      <x:c r="D113" s="24" t="str">
        <x:v>Kuchli va kuchsiz elektrolitlar</x:v>
      </x:c>
      <x:c r="E113" s="24" t="str">
        <x:v>3-bob, 9-§, 51-53-betlar</x:v>
      </x:c>
      <x:c r="F113" s="24" t="str">
        <x:v>Ionlanish, o‘tkazuvchanlik</x:v>
      </x:c>
      <x:c r="G113" s="24" t="str">
        <x:v>Eritma zarrachalari modeli</x:v>
      </x:c>
      <x:c r="H113" s="24" t="str">
        <x:v>Elektrolit tanlab ionlar ulushini ko‘rish</x:v>
      </x:c>
      <x:c r="I113" s="24" t="str">
        <x:v>Simulyatsiya</x:v>
      </x:c>
      <x:c r="J113" s="24" t="str">
        <x:v>Lab</x:v>
      </x:c>
      <x:c r="K113" s="24" t="str"/>
      <x:c r="L113" s="24" t="str"/>
      <x:c r="M113" s="24" t="str">
        <x:v>Yangi kerak</x:v>
      </x:c>
      <x:c r="N113" s="24" t="str">
        <x:v>Kuchli/kuchsiz elektrolit o‘tkazuvchanlik va ion ulushi modeli</x:v>
      </x:c>
      <x:c r="O113" s="24" t="str">
        <x:v>Katalogda maxsus laboratoriya yo‘q; raqamli tajriba kerak.</x:v>
      </x:c>
      <x:c r="P113" s="24" t="str">
        <x:v>KimyoLab_v19.html</x:v>
      </x:c>
    </x:row>
    <x:row r="114">
      <x:c r="A114" s="24" t="n">
        <x:v>110</x:v>
      </x:c>
      <x:c r="B114" s="24" t="str">
        <x:v>11-sinf</x:v>
      </x:c>
      <x:c r="C114" s="24" t="str">
        <x:v>11.10</x:v>
      </x:c>
      <x:c r="D114" s="24" t="str">
        <x:v>Dissotsiatsiyalanish darajasi va ionli tenglamalar</x:v>
      </x:c>
      <x:c r="E114" s="24" t="str">
        <x:v>3-bob, 10-§, 54-57-betlar</x:v>
      </x:c>
      <x:c r="F114" s="24" t="str">
        <x:v>α, qisqa va to‘liq ionli tenglama</x:v>
      </x:c>
      <x:c r="G114" s="24" t="str">
        <x:v>Ion tenglama konstruktori</x:v>
      </x:c>
      <x:c r="H114" s="24" t="str">
        <x:v>Tomoshabin ionlarni olib tashlab qisqa tenglama tuzish</x:v>
      </x:c>
      <x:c r="I114" s="24" t="str">
        <x:v>Trenajyor</x:v>
      </x:c>
      <x:c r="J114" s="24" t="str">
        <x:v>Simulyatsiya</x:v>
      </x:c>
      <x:c r="K114" s="24" t="str"/>
      <x:c r="L114" s="24" t="str"/>
      <x:c r="M114" s="24" t="str">
        <x:v>Yangi kerak</x:v>
      </x:c>
      <x:c r="N114" s="24" t="str">
        <x:v>Dissotsiatsiya va qisqa ionli tenglama konstruktori</x:v>
      </x:c>
      <x:c r="O114" s="24" t="str">
        <x:v>Ionlar bilan operatsion ishlash asosiy amaliyot.</x:v>
      </x:c>
      <x:c r="P114" s="24" t="str">
        <x:v>KimyoLab_v19.html</x:v>
      </x:c>
    </x:row>
    <x:row r="115">
      <x:c r="A115" s="24" t="n">
        <x:v>111</x:v>
      </x:c>
      <x:c r="B115" s="24" t="str">
        <x:v>11-sinf</x:v>
      </x:c>
      <x:c r="C115" s="24" t="str">
        <x:v>11.11</x:v>
      </x:c>
      <x:c r="D115" s="24" t="str">
        <x:v>Tuzlar gidrolizi va eritma muhiti</x:v>
      </x:c>
      <x:c r="E115" s="24" t="str">
        <x:v>3-bob, 11-§, 58-61-betlar</x:v>
      </x:c>
      <x:c r="F115" s="24" t="str">
        <x:v>Gidroliz, pH, indikator</x:v>
      </x:c>
      <x:c r="G115" s="24" t="str">
        <x:v>pH va ion modeli</x:v>
      </x:c>
      <x:c r="H115" s="24" t="str">
        <x:v>Tuz tanlab eritma muhitini aniqlash</x:v>
      </x:c>
      <x:c r="I115" s="24" t="str">
        <x:v>Simulyatsiya</x:v>
      </x:c>
      <x:c r="J115" s="24" t="str">
        <x:v>Trenajyor</x:v>
      </x:c>
      <x:c r="K115" s="24" t="str"/>
      <x:c r="L115" s="24" t="str"/>
      <x:c r="M115" s="24" t="str">
        <x:v>Yangi kerak</x:v>
      </x:c>
      <x:c r="N115" s="24" t="str">
        <x:v>Tuz gidrolizi pH va ion modeli</x:v>
      </x:c>
      <x:c r="O115" s="24" t="str">
        <x:v>Tuz tanlab muhitni aniqlash va tenglama tuzish.</x:v>
      </x:c>
      <x:c r="P115" s="24" t="str">
        <x:v>KimyoLab_v19.html</x:v>
      </x:c>
    </x:row>
    <x:row r="116">
      <x:c r="A116" s="24" t="n">
        <x:v>112</x:v>
      </x:c>
      <x:c r="B116" s="24" t="str">
        <x:v>11-sinf</x:v>
      </x:c>
      <x:c r="C116" s="24" t="str">
        <x:v>11.12</x:v>
      </x:c>
      <x:c r="D116" s="24" t="str">
        <x:v>Eritma va eruvchanlik</x:v>
      </x:c>
      <x:c r="E116" s="24" t="str">
        <x:v>4-bob, 12-14-§, 62-72-betlar</x:v>
      </x:c>
      <x:c r="F116" s="24" t="str">
        <x:v>Erituvchi, eruvchi, to‘yingan eritma, eruvchanlik egri chizig‘i</x:v>
      </x:c>
      <x:c r="G116" s="24" t="str">
        <x:v>Grafik simulyator</x:v>
      </x:c>
      <x:c r="H116" s="24" t="str">
        <x:v>Haroratni o‘zgartirib qancha modda erishini ko‘rish</x:v>
      </x:c>
      <x:c r="I116" s="24" t="str">
        <x:v>Simulyatsiya</x:v>
      </x:c>
      <x:c r="J116" s="24" t="str">
        <x:v>Hisoblash</x:v>
      </x:c>
      <x:c r="K116" s="24" t="str"/>
      <x:c r="L116" s="24" t="str"/>
      <x:c r="M116" s="24" t="str">
        <x:v>Yangi kerak</x:v>
      </x:c>
      <x:c r="N116" s="24" t="str">
        <x:v>Eruvchanlik grafigi va to‘yingan eritma simulyatori</x:v>
      </x:c>
      <x:c r="O116" s="24" t="str">
        <x:v>Harorat–eruvchanlik bog‘ini grafik/sonli ko‘rish.</x:v>
      </x:c>
      <x:c r="P116" s="24" t="str">
        <x:v>KimyoLab_v19.html</x:v>
      </x:c>
    </x:row>
    <x:row r="117">
      <x:c r="A117" s="24" t="n">
        <x:v>113</x:v>
      </x:c>
      <x:c r="B117" s="24" t="str">
        <x:v>11-sinf</x:v>
      </x:c>
      <x:c r="C117" s="24" t="str">
        <x:v>11.13</x:v>
      </x:c>
      <x:c r="D117" s="24" t="str">
        <x:v>Foiz konsentratsiya</x:v>
      </x:c>
      <x:c r="E117" s="24" t="str">
        <x:v>4-bob, 15-17-§, 73-84-betlar</x:v>
      </x:c>
      <x:c r="F117" s="24" t="str">
        <x:v>Massa ulushi, eritma massasi, hajm va zichlik</x:v>
      </x:c>
      <x:c r="G117" s="24" t="str">
        <x:v>Eritma tayyorlash simulyatori</x:v>
      </x:c>
      <x:c r="H117" s="24" t="str">
        <x:v>Suv va modda miqdorini o‘zgartirib foizni hisoblash</x:v>
      </x:c>
      <x:c r="I117" s="24" t="str">
        <x:v>Hisoblash</x:v>
      </x:c>
      <x:c r="J117" s="24" t="str">
        <x:v>Simulyatsiya</x:v>
      </x:c>
      <x:c r="K117" s="24" t="str"/>
      <x:c r="L117" s="24" t="str"/>
      <x:c r="M117" s="24" t="str">
        <x:v>Yangi kerak</x:v>
      </x:c>
      <x:c r="N117" s="24" t="str">
        <x:v>Foiz konsentratsiyali eritma tayyorlash virtual amaliyoti</x:v>
      </x:c>
      <x:c r="O117" s="24" t="str">
        <x:v>Suv/modda miqdori bilan realistik hisoblash amaliyoti.</x:v>
      </x:c>
      <x:c r="P117" s="24" t="str">
        <x:v>KimyoLab_v19.html</x:v>
      </x:c>
    </x:row>
    <x:row r="118">
      <x:c r="A118" s="24" t="n">
        <x:v>114</x:v>
      </x:c>
      <x:c r="B118" s="24" t="str">
        <x:v>11-sinf</x:v>
      </x:c>
      <x:c r="C118" s="24" t="str">
        <x:v>11.14</x:v>
      </x:c>
      <x:c r="D118" s="24" t="str">
        <x:v>Molyar va normal konsentratsiya hamda bog‘lanishlar</x:v>
      </x:c>
      <x:c r="E118" s="24" t="str">
        <x:v>4-bob, 18-21-§, 85-97-betlar</x:v>
      </x:c>
      <x:c r="F118" s="24" t="str">
        <x:v>CM, CN, foiz bilan bog‘lanish</x:v>
      </x:c>
      <x:c r="G118" s="24" t="str">
        <x:v>Konsentratsiya konvertori</x:v>
      </x:c>
      <x:c r="H118" s="24" t="str">
        <x:v>Bir birlikdan boshqasiga o‘tish</x:v>
      </x:c>
      <x:c r="I118" s="24" t="str">
        <x:v>Hisoblash</x:v>
      </x:c>
      <x:c r="J118" s="24" t="str">
        <x:v>Trenajyor</x:v>
      </x:c>
      <x:c r="K118" s="24" t="str"/>
      <x:c r="L118" s="24" t="str"/>
      <x:c r="M118" s="24" t="str">
        <x:v>Yangi kerak</x:v>
      </x:c>
      <x:c r="N118" s="24" t="str">
        <x:v>Molyar/normal konsentratsiya konvertori va masalalar</x:v>
      </x:c>
      <x:c r="O118" s="24" t="str">
        <x:v>Konsentratsiya birliklari orasidagi bog‘lanishni mashq qiladi.</x:v>
      </x:c>
      <x:c r="P118" s="24" t="str">
        <x:v>KimyoLab_v19.html</x:v>
      </x:c>
    </x:row>
    <x:row r="119">
      <x:c r="A119" s="24" t="n">
        <x:v>115</x:v>
      </x:c>
      <x:c r="B119" s="24" t="str">
        <x:v>11-sinf</x:v>
      </x:c>
      <x:c r="C119" s="24" t="str">
        <x:v>11.15</x:v>
      </x:c>
      <x:c r="D119" s="24" t="str">
        <x:v>Reaksiya tezligi</x:v>
      </x:c>
      <x:c r="E119" s="24" t="str">
        <x:v>5-bob, 22-§, 98-103-betlar</x:v>
      </x:c>
      <x:c r="F119" s="24" t="str">
        <x:v>Tezlik, konsentratsiyaning vaqt bo‘yicha o‘zgarishi</x:v>
      </x:c>
      <x:c r="G119" s="24" t="str">
        <x:v>Grafik animatsiya</x:v>
      </x:c>
      <x:c r="H119" s="24" t="str">
        <x:v>Reagent sarfi va mahsulot hosil bo‘lish grafigini ko‘rish</x:v>
      </x:c>
      <x:c r="I119" s="24" t="str">
        <x:v>Simulyatsiya</x:v>
      </x:c>
      <x:c r="J119" s="24" t="str">
        <x:v>Hisoblash</x:v>
      </x:c>
      <x:c r="K119" s="24" t="str"/>
      <x:c r="L119" s="24" t="str"/>
      <x:c r="M119" s="24" t="str">
        <x:v>Yangi kerak</x:v>
      </x:c>
      <x:c r="N119" s="24" t="str">
        <x:v>Reagent sarfi–mahsulot hosil bo‘lish tezlik grafigi</x:v>
      </x:c>
      <x:c r="O119" s="24" t="str">
        <x:v>Tezlikni grafik va sonli tahlil qilish.</x:v>
      </x:c>
      <x:c r="P119" s="24" t="str">
        <x:v>KimyoLab_v19.html</x:v>
      </x:c>
    </x:row>
    <x:row r="120">
      <x:c r="A120" s="24" t="n">
        <x:v>116</x:v>
      </x:c>
      <x:c r="B120" s="24" t="str">
        <x:v>11-sinf</x:v>
      </x:c>
      <x:c r="C120" s="24" t="str">
        <x:v>11.16</x:v>
      </x:c>
      <x:c r="D120" s="24" t="str">
        <x:v>Bosim, hajm, harorat va katalizatorning reaksiya tezligiga ta’siri</x:v>
      </x:c>
      <x:c r="E120" s="24" t="str">
        <x:v>5-bob, 23-§, 104-108-betlar</x:v>
      </x:c>
      <x:c r="F120" s="24" t="str">
        <x:v>Ta’sir omillari, katalizator</x:v>
      </x:c>
      <x:c r="G120" s="24" t="str">
        <x:v>Ko‘p omilli simulyator</x:v>
      </x:c>
      <x:c r="H120" s="24" t="str">
        <x:v>Slayderlar bilan tezlik grafigini o‘zgartirish</x:v>
      </x:c>
      <x:c r="I120" s="24" t="str">
        <x:v>Simulyatsiya</x:v>
      </x:c>
      <x:c r="J120" s="24" t="str">
        <x:v>Lab</x:v>
      </x:c>
      <x:c r="K120" s="24" t="str"/>
      <x:c r="L120" s="24" t="str"/>
      <x:c r="M120" s="24" t="str">
        <x:v>Yangi kerak</x:v>
      </x:c>
      <x:c r="N120" s="24" t="str">
        <x:v>T, P, V, katalizator omillarini o‘zgartirish virtual tajribasi</x:v>
      </x:c>
      <x:c r="O120" s="24" t="str">
        <x:v>Ko‘p omilli tezlik tajribasi katalogda yo‘q.</x:v>
      </x:c>
      <x:c r="P120" s="24" t="str">
        <x:v>KimyoLab_v19.html</x:v>
      </x:c>
    </x:row>
    <x:row r="121">
      <x:c r="A121" s="24" t="n">
        <x:v>117</x:v>
      </x:c>
      <x:c r="B121" s="24" t="str">
        <x:v>11-sinf</x:v>
      </x:c>
      <x:c r="C121" s="24" t="str">
        <x:v>11.17</x:v>
      </x:c>
      <x:c r="D121" s="24" t="str">
        <x:v>Qaytar va qaytmas reaksiyalar. Kimyoviy muvozanat</x:v>
      </x:c>
      <x:c r="E121" s="24" t="str">
        <x:v>6-bob, 25-§, 112-115-betlar</x:v>
      </x:c>
      <x:c r="F121" s="24" t="str">
        <x:v>Qaytar reaksiya, dinamik muvozanat</x:v>
      </x:c>
      <x:c r="G121" s="24" t="str">
        <x:v>Zarrachalar animatsiyasi</x:v>
      </x:c>
      <x:c r="H121" s="24" t="str">
        <x:v>Oldinga va teskari tezliklarning tenglashishini ko‘rish</x:v>
      </x:c>
      <x:c r="I121" s="24" t="str">
        <x:v>Simulyatsiya</x:v>
      </x:c>
      <x:c r="J121" s="24" t="str">
        <x:v>Trenajyor</x:v>
      </x:c>
      <x:c r="K121" s="24" t="str"/>
      <x:c r="L121" s="24" t="str"/>
      <x:c r="M121" s="24" t="str">
        <x:v>Yangi kerak</x:v>
      </x:c>
      <x:c r="N121" s="24" t="str">
        <x:v>Oldinga/teskari reaksiya va dinamik muvozanat modeli</x:v>
      </x:c>
      <x:c r="O121" s="24" t="str">
        <x:v>Qaytar reaksiya zarracha va tezlik grafigi bilan ko‘rsatiladi.</x:v>
      </x:c>
      <x:c r="P121" s="24" t="str">
        <x:v>KimyoLab_v19.html</x:v>
      </x:c>
    </x:row>
    <x:row r="122">
      <x:c r="A122" s="24" t="n">
        <x:v>118</x:v>
      </x:c>
      <x:c r="B122" s="24" t="str">
        <x:v>11-sinf</x:v>
      </x:c>
      <x:c r="C122" s="24" t="str">
        <x:v>11.18</x:v>
      </x:c>
      <x:c r="D122" s="24" t="str">
        <x:v>Kimyoviy muvozanatga ta’sir etuvchi omillar</x:v>
      </x:c>
      <x:c r="E122" s="24" t="str">
        <x:v>6-bob, 26-§, 116-120-betlar</x:v>
      </x:c>
      <x:c r="F122" s="24" t="str">
        <x:v>Le-Shatele prinsipi, bosim, harorat, konsentratsiya</x:v>
      </x:c>
      <x:c r="G122" s="24" t="str">
        <x:v>Muvozanat slayderlari</x:v>
      </x:c>
      <x:c r="H122" s="24" t="str">
        <x:v>Sharoitni o‘zgartirib siljishni aniqlash</x:v>
      </x:c>
      <x:c r="I122" s="24" t="str">
        <x:v>Simulyatsiya</x:v>
      </x:c>
      <x:c r="J122" s="24" t="str">
        <x:v>Case</x:v>
      </x:c>
      <x:c r="K122" s="24" t="str"/>
      <x:c r="L122" s="24" t="str"/>
      <x:c r="M122" s="24" t="str">
        <x:v>Yangi kerak</x:v>
      </x:c>
      <x:c r="N122" s="24" t="str">
        <x:v>Le-Shatele: sharoit o‘zgarishi bo‘yicha muvozanat case’i</x:v>
      </x:c>
      <x:c r="O122" s="24" t="str">
        <x:v>Sharoit tanlab siljishni bashorat qilish amaliyoti.</x:v>
      </x:c>
      <x:c r="P122" s="24" t="str">
        <x:v>KimyoLab_v19.html</x:v>
      </x:c>
    </x:row>
    <x:row r="123">
      <x:c r="A123" s="24" t="n">
        <x:v>119</x:v>
      </x:c>
      <x:c r="B123" s="24" t="str">
        <x:v>11-sinf</x:v>
      </x:c>
      <x:c r="C123" s="24" t="str">
        <x:v>11.19</x:v>
      </x:c>
      <x:c r="D123" s="24" t="str">
        <x:v>Oksidlanish-qaytarilish reaksiyalarini yarim reaksiya usuli bilan tenglashtirish</x:v>
      </x:c>
      <x:c r="E123" s="24" t="str">
        <x:v>7-bob, 28-§, 127-131-betlar</x:v>
      </x:c>
      <x:c r="F123" s="24" t="str">
        <x:v>Elektron-ion balans, yarim reaksiyalar</x:v>
      </x:c>
      <x:c r="G123" s="24" t="str">
        <x:v>Bosqichli redoks trenajyori</x:v>
      </x:c>
      <x:c r="H123" s="24" t="str">
        <x:v>Elektronlarni tenglashtirib umumiy tenglama yaratish</x:v>
      </x:c>
      <x:c r="I123" s="24" t="str">
        <x:v>Trenajyor</x:v>
      </x:c>
      <x:c r="J123" s="24" t="str">
        <x:v>Simulyatsiya</x:v>
      </x:c>
      <x:c r="K123" s="24" t="str"/>
      <x:c r="L123" s="24" t="str"/>
      <x:c r="M123" s="24" t="str">
        <x:v>Yangi kerak</x:v>
      </x:c>
      <x:c r="N123" s="24" t="str">
        <x:v>Yarim reaksiya usuli bilan redoks balanslash</x:v>
      </x:c>
      <x:c r="O123" s="24" t="str">
        <x:v>Elektron balansni bosqichma-bosqich mashq qilish kerak.</x:v>
      </x:c>
      <x:c r="P123" s="24" t="str">
        <x:v>KimyoLab_v19.html</x:v>
      </x:c>
    </x:row>
    <x:row r="124">
      <x:c r="A124" s="24" t="n">
        <x:v>120</x:v>
      </x:c>
      <x:c r="B124" s="24" t="str">
        <x:v>11-sinf</x:v>
      </x:c>
      <x:c r="C124" s="24" t="str">
        <x:v>11.20</x:v>
      </x:c>
      <x:c r="D124" s="24" t="str">
        <x:v>Redoks reaksiyalarining eritma muhitiga bog‘liqligi</x:v>
      </x:c>
      <x:c r="E124" s="24" t="str">
        <x:v>7-bob, 29-30-§, 132-138-betlar</x:v>
      </x:c>
      <x:c r="F124" s="24" t="str">
        <x:v>Kislotali, neytral, ishqoriy muhit; ekvivalent og‘irlik</x:v>
      </x:c>
      <x:c r="G124" s="24" t="str">
        <x:v>Muhitga bog‘liq reaksiya simulyatori</x:v>
      </x:c>
      <x:c r="H124" s="24" t="str">
        <x:v>Muhitni tanlab mahsulot o‘zgarishini ko‘rish</x:v>
      </x:c>
      <x:c r="I124" s="24" t="str">
        <x:v>Simulyatsiya</x:v>
      </x:c>
      <x:c r="J124" s="24" t="str">
        <x:v>Trenajyor</x:v>
      </x:c>
      <x:c r="K124" s="24" t="str"/>
      <x:c r="L124" s="24" t="str"/>
      <x:c r="M124" s="24" t="str">
        <x:v>Yangi kerak</x:v>
      </x:c>
      <x:c r="N124" s="24" t="str">
        <x:v>Kislotali/neytral/ishqoriy muhitda redoks mahsulotlari simulyatsiyasi</x:v>
      </x:c>
      <x:c r="O124" s="24" t="str">
        <x:v>Muhit mahsulotga ta’sirini interaktiv ko‘rsatish kerak.</x:v>
      </x:c>
      <x:c r="P124" s="24" t="str">
        <x:v>KimyoLab_v19.html</x:v>
      </x:c>
    </x:row>
    <x:row r="125">
      <x:c r="A125" s="24" t="n">
        <x:v>121</x:v>
      </x:c>
      <x:c r="B125" s="24" t="str">
        <x:v>11-sinf</x:v>
      </x:c>
      <x:c r="C125" s="24" t="str">
        <x:v>11.21</x:v>
      </x:c>
      <x:c r="D125" s="24" t="str">
        <x:v>Elektroliz: eritma va suyuqlanma</x:v>
      </x:c>
      <x:c r="E125" s="24" t="str">
        <x:v>8-bob, 31-§, 139-143-betlar</x:v>
      </x:c>
      <x:c r="F125" s="24" t="str">
        <x:v>Katod, anod, eritma, suyuqlanma</x:v>
      </x:c>
      <x:c r="G125" s="24" t="str">
        <x:v>Elektroliz qurilmasi simulyatori</x:v>
      </x:c>
      <x:c r="H125" s="24" t="str">
        <x:v>Elektrolit va elektrod turini tanlab mahsulotlarni kuzatish</x:v>
      </x:c>
      <x:c r="I125" s="24" t="str">
        <x:v>Lab</x:v>
      </x:c>
      <x:c r="J125" s="24" t="str">
        <x:v>Simulyatsiya; Trenajyor</x:v>
      </x:c>
      <x:c r="K125" s="24" t="str">
        <x:v>11.2</x:v>
      </x:c>
      <x:c r="L125" s="24" t="str">
        <x:v>Platforma uchun demonstratsion tajriba nomzodi: elektroliz</x:v>
      </x:c>
      <x:c r="M125" s="24" t="str">
        <x:v>Mavjud</x:v>
      </x:c>
      <x:c r="N125" s="24" t="str">
        <x:v>CuCl2 elektrolizi: katod/anod va ion migratsiyasi</x:v>
      </x:c>
      <x:c r="O125" s="24" t="str">
        <x:v>11.2 aynan elektroliz demonstratsion tajribasi sifatida mos.</x:v>
      </x:c>
      <x:c r="P125" s="24" t="str">
        <x:v>KimyoLab_v19.html</x:v>
      </x:c>
    </x:row>
    <x:row r="126">
      <x:c r="A126" s="24" t="n">
        <x:v>122</x:v>
      </x:c>
      <x:c r="B126" s="24" t="str">
        <x:v>11-sinf</x:v>
      </x:c>
      <x:c r="C126" s="24" t="str">
        <x:v>11.22</x:v>
      </x:c>
      <x:c r="D126" s="24" t="str">
        <x:v>Elektroliz qonunlari</x:v>
      </x:c>
      <x:c r="E126" s="24" t="str">
        <x:v>8-bob, 32-§, 144-148-betlar</x:v>
      </x:c>
      <x:c r="F126" s="24" t="str">
        <x:v>Faradey qonuni, tok, vaqt, massa</x:v>
      </x:c>
      <x:c r="G126" s="24" t="str">
        <x:v>Tok-vaqt kalkulyatori va grafik</x:v>
      </x:c>
      <x:c r="H126" s="24" t="str">
        <x:v>Tok kuchi va vaqtni o‘zgartirib ajralgan massani ko‘rish</x:v>
      </x:c>
      <x:c r="I126" s="24" t="str">
        <x:v>Hisoblash</x:v>
      </x:c>
      <x:c r="J126" s="24" t="str">
        <x:v>Lab; Simulyatsiya</x:v>
      </x:c>
      <x:c r="K126" s="24" t="str">
        <x:v>11.2</x:v>
      </x:c>
      <x:c r="L126" s="24" t="str">
        <x:v>Platforma uchun demonstratsion tajriba nomzodi: elektroliz</x:v>
      </x:c>
      <x:c r="M126" s="24" t="str">
        <x:v>Qisman mavjud</x:v>
      </x:c>
      <x:c r="N126" s="24" t="str">
        <x:v>Faradey qonunlari: tok–vaqt–massa kalkulyatori</x:v>
      </x:c>
      <x:c r="O126" s="24" t="str">
        <x:v>11.2 jarayon kontekstini beradi, qonunlarni hisoblash faoliyati bilan bog‘lash kerak.</x:v>
      </x:c>
      <x:c r="P126" s="24" t="str">
        <x:v>KimyoLab_v19.html</x:v>
      </x:c>
    </x:row>
  </x:sheetData>
  <x:mergeCells>
    <x:mergeCell ref="A1:P1"/>
    <x:mergeCell ref="A2:P2"/>
  </x:mergeCells>
  <x:conditionalFormatting sqref="M5:M126">
    <x:cfRule type="expression" dxfId="0" priority="1">
      <x:formula>M5="Mavjud"</x:formula>
    </x:cfRule>
    <x:cfRule type="expression" dxfId="1" priority="2">
      <x:formula>M5="Qisman mavjud"</x:formula>
    </x:cfRule>
    <x:cfRule type="expression" dxfId="2" priority="3">
      <x:formula>M5="Yangi kerak"</x:formula>
    </x:cfRule>
  </x:conditionalFormatting>
  <x:conditionalFormatting sqref="I5:I126">
    <x:cfRule type="expression" dxfId="3" priority="4">
      <x:formula>I5="Lab"</x:formula>
    </x:cfRule>
    <x:cfRule type="expression" dxfId="4" priority="5">
      <x:formula>I5="Simulyatsiya"</x:formula>
    </x:cfRule>
    <x:cfRule type="expression" dxfId="5" priority="6">
      <x:formula>I5="Trenajyor"</x:formula>
    </x:cfRule>
    <x:cfRule type="expression" dxfId="6" priority="7">
      <x:formula>I5="Hisoblash"</x:formula>
    </x:cfRule>
    <x:cfRule type="expression" dxfId="7" priority="8">
      <x:formula>I5="Case"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95ca14240c4c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2" hidden="0" customWidth="1"/>
    <x:col min="4" max="4" width="38" hidden="0" customWidth="1"/>
    <x:col min="5" max="5" width="24" hidden="0" customWidth="1"/>
    <x:col min="6" max="6" width="28" hidden="0" customWidth="1"/>
    <x:col min="7" max="7" width="20" hidden="0" customWidth="1"/>
    <x:col min="8" max="8" width="34" hidden="0" customWidth="1"/>
    <x:col min="9" max="9" width="48" hidden="0" customWidth="1"/>
    <x:col min="10" max="10" width="20" hidden="0" customWidth="1"/>
    <x:col min="11" max="11" width="42" hidden="0" customWidth="1"/>
    <x:col min="12" max="12" width="48" hidden="0" customWidth="1"/>
    <x:col min="13" max="13" width="18" hidden="0" customWidth="1"/>
  </x:cols>
  <x:sheetData>
    <x:row r="1">
      <x:c r="A1" s="4" t="str">
        <x:v>KimyoLab v20 — 62 ta amaliy mashg‘ulot → nazariya mapping matritsasi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0" t="str">
        <x:v>Har bir mavjud amaliy bandning qaysi nazariy mavzu(lar)ga xizmat qilishi ko‘rsatildi. 11.1 real amaliy faoliyat emasligi sabab reklassifikatsiya talabi bilan belgilandi.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4" customHeight="1">
      <x:c r="A4" s="18" t="str">
        <x:v>№</x:v>
      </x:c>
      <x:c r="B4" s="18" t="str">
        <x:v>Sinf</x:v>
      </x:c>
      <x:c r="C4" s="18" t="str">
        <x:v>Amaliy ID</x:v>
      </x:c>
      <x:c r="D4" s="18" t="str">
        <x:v>Amaliy mashg‘ulot mavzusi</x:v>
      </x:c>
      <x:c r="E4" s="18" t="str">
        <x:v>Darslik/manba</x:v>
      </x:c>
      <x:c r="F4" s="18" t="str">
        <x:v>Katalogdagi turi</x:v>
      </x:c>
      <x:c r="G4" s="18" t="str">
        <x:v>Tavsiya etilgan mapping turi</x:v>
      </x:c>
      <x:c r="H4" s="18" t="str">
        <x:v>Bog‘langan nazariya ID(lar)</x:v>
      </x:c>
      <x:c r="I4" s="18" t="str">
        <x:v>Bog‘langan nazariya mavzulari</x:v>
      </x:c>
      <x:c r="J4" s="18" t="str">
        <x:v>Mapping holati</x:v>
      </x:c>
      <x:c r="K4" s="18" t="str">
        <x:v>Amaliy maqsad</x:v>
      </x:c>
      <x:c r="L4" s="18" t="str">
        <x:v>Taklif/izoh</x:v>
      </x:c>
      <x:c r="M4" s="18" t="str">
        <x:v>Asos fayl</x:v>
      </x:c>
    </x:row>
    <x:row r="5">
      <x:c r="A5" s="24" t="n">
        <x:v>1</x:v>
      </x:c>
      <x:c r="B5" s="24" t="str">
        <x:v>7-sinf</x:v>
      </x:c>
      <x:c r="C5" s="24" t="str">
        <x:v>7.1</x:v>
      </x:c>
      <x:c r="D5" s="24" t="str">
        <x:v>Laboratoriya shtativi, spirt lampa, gaz gorelkalari va elektr isitgich bilan ishlash</x:v>
      </x:c>
      <x:c r="E5" s="24" t="str">
        <x:v>7-sinf darsligi, 16–19-betlar</x:v>
      </x:c>
      <x:c r="F5" s="24" t="str">
        <x:v>Amaliy mashg‘ulot</x:v>
      </x:c>
      <x:c r="G5" s="24" t="str">
        <x:v>Lab</x:v>
      </x:c>
      <x:c r="H5" s="24" t="str">
        <x:v>7.01</x:v>
      </x:c>
      <x:c r="I5" s="24" t="str">
        <x:v>Kimyo fani va uning vazifalari</x:v>
      </x:c>
      <x:c r="J5" s="24" t="str">
        <x:v>Bog‘langan</x:v>
      </x:c>
      <x:c r="K5" s="24" t="str">
        <x:v>Laboratoriya idishlari bilan tanishing: probirka, kolba, stakan, voronka, pipetka, chinni hovoncha va dastacha, tigel, qoshiqcha yoki shpatel, bug‘latish kosachasi, Byuxner voronkasi vazifalarini farqlang.</x:v>
      </x:c>
      <x:c r="L5" s="24" t="str">
        <x:v>Mavjud amaliy faoliyat tegishli nazariy tushunchalarga many-to-many mapping qilindi.</x:v>
      </x:c>
      <x:c r="M5" s="24" t="str">
        <x:v>KimyoLab_v19.html</x:v>
      </x:c>
    </x:row>
    <x:row r="6">
      <x:c r="A6" s="24" t="n">
        <x:v>2</x:v>
      </x:c>
      <x:c r="B6" s="24" t="str">
        <x:v>7-sinf</x:v>
      </x:c>
      <x:c r="C6" s="24" t="str">
        <x:v>7.2</x:v>
      </x:c>
      <x:c r="D6" s="24" t="str">
        <x:v>Aralashmalar tarkibidan sof moddani ajratish: ifloslangan osh tuzini tozalash</x:v>
      </x:c>
      <x:c r="E6" s="24" t="str">
        <x:v>7-sinf darsligi, 24–25-betlar</x:v>
      </x:c>
      <x:c r="F6" s="24" t="str">
        <x:v>Amaliy mashg‘ulot</x:v>
      </x:c>
      <x:c r="G6" s="24" t="str">
        <x:v>Lab</x:v>
      </x:c>
      <x:c r="H6" s="24" t="str">
        <x:v>7.03; 7.21</x:v>
      </x:c>
      <x:c r="I6" s="24" t="str">
        <x:v>Sof modda va aralashmalar; Suv: tarkibi, aylanishi, xossalari, neytrallanish va tozalash</x:v>
      </x:c>
      <x:c r="J6" s="24" t="str">
        <x:v>Bog‘langan</x:v>
      </x:c>
      <x:c r="K6" s="24" t="str">
        <x:v>20 ml distillangan suvga ifloslangan osh tuzidan oz-ozdan soling va shisha tayoqcha bilan aralashtiring. Tuz erimay qolguncha davom eting.</x:v>
      </x:c>
      <x:c r="L6" s="24" t="str">
        <x:v>Mavjud amaliy faoliyat tegishli nazariy tushunchalarga many-to-many mapping qilindi.</x:v>
      </x:c>
      <x:c r="M6" s="24" t="str">
        <x:v>KimyoLab_v19.html</x:v>
      </x:c>
    </x:row>
    <x:row r="7">
      <x:c r="A7" s="24" t="n">
        <x:v>3</x:v>
      </x:c>
      <x:c r="B7" s="24" t="str">
        <x:v>7-sinf</x:v>
      </x:c>
      <x:c r="C7" s="24" t="str">
        <x:v>7.3</x:v>
      </x:c>
      <x:c r="D7" s="24" t="str">
        <x:v>Kundalik hayotdagi kimyoviy jarayonlarni kuzatish va tavsiflash</x:v>
      </x:c>
      <x:c r="E7" s="24" t="str">
        <x:v>7-sinf darsligi, 31–32-betlar</x:v>
      </x:c>
      <x:c r="F7" s="24" t="str">
        <x:v>Amaliy mashg‘ulot</x:v>
      </x:c>
      <x:c r="G7" s="24" t="str">
        <x:v>Lab</x:v>
      </x:c>
      <x:c r="H7" s="24" t="str">
        <x:v>7.02; 7.05; 7.13</x:v>
      </x:c>
      <x:c r="I7" s="24" t="str">
        <x:v>Modda va uning xossalari; Fizik va kimyoviy hodisalar; Oddiy va murakkab moddalar</x:v>
      </x:c>
      <x:c r="J7" s="24" t="str">
        <x:v>Bog‘langan</x:v>
      </x:c>
      <x:c r="K7" s="24" t="str">
        <x:v>Siyoh dog‘ini tozalashning 1-usuli: dog‘ ustiga oq tish pastasini surting, eski tish cho‘tkasi bilan aylana harakatda ishqalang va issiq suv bilan yuving.</x:v>
      </x:c>
      <x:c r="L7" s="24" t="str">
        <x:v>Mavjud amaliy faoliyat tegishli nazariy tushunchalarga many-to-many mapping qilindi.</x:v>
      </x:c>
      <x:c r="M7" s="24" t="str">
        <x:v>KimyoLab_v19.html</x:v>
      </x:c>
    </x:row>
    <x:row r="8">
      <x:c r="A8" s="24" t="n">
        <x:v>4</x:v>
      </x:c>
      <x:c r="B8" s="24" t="str">
        <x:v>7-sinf</x:v>
      </x:c>
      <x:c r="C8" s="24" t="str">
        <x:v>7.4</x:v>
      </x:c>
      <x:c r="D8" s="24" t="str">
        <x:v>Birikmalardagi elementlarning valentliklarini aniqlash</x:v>
      </x:c>
      <x:c r="E8" s="24" t="str">
        <x:v>7-sinf darsligi, 63–64-betlar</x:v>
      </x:c>
      <x:c r="F8" s="24" t="str">
        <x:v>Amaliy mashg‘ulot / trenajyor asosidagi topshiriq</x:v>
      </x:c>
      <x:c r="G8" s="24" t="str">
        <x:v>Trenajyor</x:v>
      </x:c>
      <x:c r="H8" s="24" t="str">
        <x:v>7.11</x:v>
      </x:c>
      <x:c r="I8" s="24" t="str">
        <x:v>Kimyoviy formula va valentlik</x:v>
      </x:c>
      <x:c r="J8" s="24" t="str">
        <x:v>Bog‘langan</x:v>
      </x:c>
      <x:c r="K8" s="24" t="str">
        <x:v>Berilgan modda formulasidagi element belgilarini aniqlang.</x:v>
      </x:c>
      <x:c r="L8" s="24" t="str">
        <x:v>Mavjud amaliy faoliyat tegishli nazariy tushunchalarga many-to-many mapping qilindi.</x:v>
      </x:c>
      <x:c r="M8" s="24" t="str">
        <x:v>KimyoLab_v19.html</x:v>
      </x:c>
    </x:row>
    <x:row r="9">
      <x:c r="A9" s="24" t="n">
        <x:v>5</x:v>
      </x:c>
      <x:c r="B9" s="24" t="str">
        <x:v>7-sinf</x:v>
      </x:c>
      <x:c r="C9" s="24" t="str">
        <x:v>7.5</x:v>
      </x:c>
      <x:c r="D9" s="24" t="str">
        <x:v>Kimyoviy formulalar asosida hisoblashga oid masalalar</x:v>
      </x:c>
      <x:c r="E9" s="24" t="str">
        <x:v>7-sinf darsligi, 65–66-betlar</x:v>
      </x:c>
      <x:c r="F9" s="24" t="str">
        <x:v>Amaliy mashg‘ulot / hisoblash trenajyori</x:v>
      </x:c>
      <x:c r="G9" s="24" t="str">
        <x:v>Hisoblash</x:v>
      </x:c>
      <x:c r="H9" s="24" t="str">
        <x:v>7.12; 7.14</x:v>
      </x:c>
      <x:c r="I9" s="24" t="str">
        <x:v>Molekula va nisbiy molekulyar massa; Modda miqdori, Avogadro doimiysi va molyar massa</x:v>
      </x:c>
      <x:c r="J9" s="24" t="str">
        <x:v>Bog‘langan</x:v>
      </x:c>
      <x:c r="K9" s="24" t="str">
        <x:v>Berilgan formuladan moddadagi elementlar sonini va sifat tarkibini aniqlang.</x:v>
      </x:c>
      <x:c r="L9" s="24" t="str">
        <x:v>Mavjud amaliy faoliyat tegishli nazariy tushunchalarga many-to-many mapping qilindi.</x:v>
      </x:c>
      <x:c r="M9" s="24" t="str">
        <x:v>KimyoLab_v19.html</x:v>
      </x:c>
    </x:row>
    <x:row r="10">
      <x:c r="A10" s="24" t="n">
        <x:v>6</x:v>
      </x:c>
      <x:c r="B10" s="24" t="str">
        <x:v>7-sinf</x:v>
      </x:c>
      <x:c r="C10" s="24" t="str">
        <x:v>7.6</x:v>
      </x:c>
      <x:c r="D10" s="24" t="str">
        <x:v>Suvning agregat holatlari o‘zgarishini kuzatish</x:v>
      </x:c>
      <x:c r="E10" s="24" t="str">
        <x:v>7-sinf darsligi, 27-bet</x:v>
      </x:c>
      <x:c r="F10" s="24" t="str">
        <x:v>Qo‘shimcha tajriba</x:v>
      </x:c>
      <x:c r="G10" s="24" t="str">
        <x:v>Lab</x:v>
      </x:c>
      <x:c r="H10" s="24" t="str">
        <x:v>7.04; 7.05; 7.21</x:v>
      </x:c>
      <x:c r="I10" s="24" t="str">
        <x:v>Moddalarning agregat holatining o‘zgarishi; Fizik va kimyoviy hodisalar; Suv: tarkibi, aylanishi, xossalari, neytrallanish va tozalash</x:v>
      </x:c>
      <x:c r="J10" s="24" t="str">
        <x:v>Bog‘langan</x:v>
      </x:c>
      <x:c r="K10" s="24" t="str">
        <x:v>100 ml suvni stakanga quying, keyin boshqa shakldagi 50 ml stakanga o‘tkazing va suyuqlik shaklining idishga moslashishini kuzating.</x:v>
      </x:c>
      <x:c r="L10" s="24" t="str">
        <x:v>Mavjud amaliy faoliyat tegishli nazariy tushunchalarga many-to-many mapping qilindi.</x:v>
      </x:c>
      <x:c r="M10" s="24" t="str">
        <x:v>KimyoLab_v19.html</x:v>
      </x:c>
    </x:row>
    <x:row r="11">
      <x:c r="A11" s="24" t="n">
        <x:v>7</x:v>
      </x:c>
      <x:c r="B11" s="24" t="str">
        <x:v>7-sinf</x:v>
      </x:c>
      <x:c r="C11" s="24" t="str">
        <x:v>7.7</x:v>
      </x:c>
      <x:c r="D11" s="24" t="str">
        <x:v>Alanga tuzilishi va moddalarning kislorodda yonishi</x:v>
      </x:c>
      <x:c r="E11" s="24" t="str">
        <x:v>7-sinf darsligi, 100–101-betlar</x:v>
      </x:c>
      <x:c r="F11" s="24" t="str">
        <x:v>Amaliy mashg‘ulot</x:v>
      </x:c>
      <x:c r="G11" s="24" t="str">
        <x:v>Lab</x:v>
      </x:c>
      <x:c r="H11" s="24" t="str">
        <x:v>7.05; 7.15; 7.19</x:v>
      </x:c>
      <x:c r="I11" s="24" t="str">
        <x:v>Fizik va kimyoviy hodisalar; Kimyoviy reaksiya tenglamalarini tuzish; Kislorod: xossalari, yonish, ozon va oksidlar</x:v>
      </x:c>
      <x:c r="J11" s="24" t="str">
        <x:v>Bog‘langan</x:v>
      </x:c>
      <x:c r="K11" s="24" t="str">
        <x:v>Spirt lampani yoqing va alangani to‘g‘ri o‘chiring. Alanganing pastki, o‘rta va yuqori qismlarini kuzating.</x:v>
      </x:c>
      <x:c r="L11" s="24" t="str">
        <x:v>Mavjud amaliy faoliyat tegishli nazariy tushunchalarga many-to-many mapping qilindi.</x:v>
      </x:c>
      <x:c r="M11" s="24" t="str">
        <x:v>KimyoLab_v19.html</x:v>
      </x:c>
    </x:row>
    <x:row r="12">
      <x:c r="A12" s="24" t="n">
        <x:v>8</x:v>
      </x:c>
      <x:c r="B12" s="24" t="str">
        <x:v>7-sinf</x:v>
      </x:c>
      <x:c r="C12" s="24" t="str">
        <x:v>7.8</x:v>
      </x:c>
      <x:c r="D12" s="24" t="str">
        <x:v>Vodorodning olinishi va uning xossalarini sinash</x:v>
      </x:c>
      <x:c r="E12" s="24" t="str">
        <x:v>7-sinf darsligi, 115–116-betlar</x:v>
      </x:c>
      <x:c r="F12" s="24" t="str">
        <x:v>Amaliy mashg‘ulot</x:v>
      </x:c>
      <x:c r="G12" s="24" t="str">
        <x:v>Lab</x:v>
      </x:c>
      <x:c r="H12" s="24" t="str">
        <x:v>7.15; 7.20</x:v>
      </x:c>
      <x:c r="I12" s="24" t="str">
        <x:v>Kimyoviy reaksiya tenglamalarini tuzish; Vodorod, kislotalar va kislotali yomg‘ir</x:v>
      </x:c>
      <x:c r="J12" s="24" t="str">
        <x:v>Bog‘langan</x:v>
      </x:c>
      <x:c r="K12" s="24" t="str">
        <x:v>Apparatga 2–3 bo‘lak metall soling, mahkam yoping va zichligini tekshiring.</x:v>
      </x:c>
      <x:c r="L12" s="24" t="str">
        <x:v>Mavjud amaliy faoliyat tegishli nazariy tushunchalarga many-to-many mapping qilindi.</x:v>
      </x:c>
      <x:c r="M12" s="24" t="str">
        <x:v>KimyoLab_v19.html</x:v>
      </x:c>
    </x:row>
    <x:row r="13">
      <x:c r="A13" s="24" t="n">
        <x:v>9</x:v>
      </x:c>
      <x:c r="B13" s="24" t="str">
        <x:v>7-sinf</x:v>
      </x:c>
      <x:c r="C13" s="24" t="str">
        <x:v>7.9</x:v>
      </x:c>
      <x:c r="D13" s="24" t="str">
        <x:v>Kislotalarning olinishi va xossalari</x:v>
      </x:c>
      <x:c r="E13" s="24" t="str">
        <x:v>7-sinf darsligi, 122–123-betlar</x:v>
      </x:c>
      <x:c r="F13" s="24" t="str">
        <x:v>Amaliy mashg‘ulot</x:v>
      </x:c>
      <x:c r="G13" s="24" t="str">
        <x:v>Lab</x:v>
      </x:c>
      <x:c r="H13" s="24" t="str">
        <x:v>7.15; 7.20</x:v>
      </x:c>
      <x:c r="I13" s="24" t="str">
        <x:v>Kimyoviy reaksiya tenglamalarini tuzish; Vodorod, kislotalar va kislotali yomg‘ir</x:v>
      </x:c>
      <x:c r="J13" s="24" t="str">
        <x:v>Bog‘langan</x:v>
      </x:c>
      <x:c r="K13" s="24" t="str">
        <x:v>NaCl ga H2SO4 ta’sir ettirib va ehtiyotkor qizdirib HCl gazini oling. Gazni suvga yuttirib xlorid kislota hosil qiling.</x:v>
      </x:c>
      <x:c r="L13" s="24" t="str">
        <x:v>Mavjud amaliy faoliyat tegishli nazariy tushunchalarga many-to-many mapping qilindi.</x:v>
      </x:c>
      <x:c r="M13" s="24" t="str">
        <x:v>KimyoLab_v19.html</x:v>
      </x:c>
    </x:row>
    <x:row r="14">
      <x:c r="A14" s="24" t="n">
        <x:v>10</x:v>
      </x:c>
      <x:c r="B14" s="24" t="str">
        <x:v>7-sinf</x:v>
      </x:c>
      <x:c r="C14" s="24" t="str">
        <x:v>7.10</x:v>
      </x:c>
      <x:c r="D14" s="24" t="str">
        <x:v>Kislotalarning metallar bilan o‘zaro ta’siri</x:v>
      </x:c>
      <x:c r="E14" s="24" t="str">
        <x:v>7-sinf darsligi, 124–125-betlar</x:v>
      </x:c>
      <x:c r="F14" s="24" t="str">
        <x:v>Amaliy mashg‘ulot</x:v>
      </x:c>
      <x:c r="G14" s="24" t="str">
        <x:v>Lab</x:v>
      </x:c>
      <x:c r="H14" s="24" t="str">
        <x:v>7.15; 7.20</x:v>
      </x:c>
      <x:c r="I14" s="24" t="str">
        <x:v>Kimyoviy reaksiya tenglamalarini tuzish; Vodorod, kislotalar va kislotali yomg‘ir</x:v>
      </x:c>
      <x:c r="J14" s="24" t="str">
        <x:v>Bog‘langan</x:v>
      </x:c>
      <x:c r="K14" s="24" t="str">
        <x:v>Magniy ustiga suyultirilgan H2SO4 quying, ajralgan gazni yig‘ing va gugurt alangasi bilan tekshiring.</x:v>
      </x:c>
      <x:c r="L14" s="24" t="str">
        <x:v>Mavjud amaliy faoliyat tegishli nazariy tushunchalarga many-to-many mapping qilindi.</x:v>
      </x:c>
      <x:c r="M14" s="24" t="str">
        <x:v>KimyoLab_v19.html</x:v>
      </x:c>
    </x:row>
    <x:row r="15">
      <x:c r="A15" s="24" t="n">
        <x:v>11</x:v>
      </x:c>
      <x:c r="B15" s="24" t="str">
        <x:v>7-sinf</x:v>
      </x:c>
      <x:c r="C15" s="24" t="str">
        <x:v>7.11</x:v>
      </x:c>
      <x:c r="D15" s="24" t="str">
        <x:v>Suvning oksidlar bilan o‘zaro ta’siri</x:v>
      </x:c>
      <x:c r="E15" s="24" t="str">
        <x:v>7-sinf darsligi, 140–141-betlar</x:v>
      </x:c>
      <x:c r="F15" s="24" t="str">
        <x:v>Amaliy mashg‘ulot</x:v>
      </x:c>
      <x:c r="G15" s="24" t="str">
        <x:v>Lab</x:v>
      </x:c>
      <x:c r="H15" s="24" t="str">
        <x:v>7.15; 7.21</x:v>
      </x:c>
      <x:c r="I15" s="24" t="str">
        <x:v>Kimyoviy reaksiya tenglamalarini tuzish; Suv: tarkibi, aylanishi, xossalari, neytrallanish va tozalash</x:v>
      </x:c>
      <x:c r="J15" s="24" t="str">
        <x:v>Bog‘langan</x:v>
      </x:c>
      <x:c r="K15" s="24" t="str">
        <x:v>Birinchi probirkaga CaO va suv soling. Oqartiruvchi suspenziya yoki ishqoriy muhit hosil bo‘lishini kuzating.</x:v>
      </x:c>
      <x:c r="L15" s="24" t="str">
        <x:v>Mavjud amaliy faoliyat tegishli nazariy tushunchalarga many-to-many mapping qilindi.</x:v>
      </x:c>
      <x:c r="M15" s="24" t="str">
        <x:v>KimyoLab_v19.html</x:v>
      </x:c>
    </x:row>
    <x:row r="16">
      <x:c r="A16" s="24" t="n">
        <x:v>12</x:v>
      </x:c>
      <x:c r="B16" s="24" t="str">
        <x:v>7-sinf</x:v>
      </x:c>
      <x:c r="C16" s="24" t="str">
        <x:v>7.12</x:v>
      </x:c>
      <x:c r="D16" s="24" t="str">
        <x:v>Suvning fizik xossalarini o‘rganish</x:v>
      </x:c>
      <x:c r="E16" s="24" t="str">
        <x:v>7-sinf darsligi, 135–136-betlar</x:v>
      </x:c>
      <x:c r="F16" s="24" t="str">
        <x:v>Qo‘shimcha tajribalar majmuasi</x:v>
      </x:c>
      <x:c r="G16" s="24" t="str">
        <x:v>Lab</x:v>
      </x:c>
      <x:c r="H16" s="24" t="str">
        <x:v>7.02; 7.04; 7.21</x:v>
      </x:c>
      <x:c r="I16" s="24" t="str">
        <x:v>Modda va uning xossalari; Moddalarning agregat holatining o‘zgarishi; Suv: tarkibi, aylanishi, xossalari, neytrallanish va tozalash</x:v>
      </x:c>
      <x:c r="J16" s="24" t="str">
        <x:v>Bog‘langan</x:v>
      </x:c>
      <x:c r="K16" s="24" t="str">
        <x:v>Tiniqlikni tekshirish: turli suv namunalarini silindrga quying va tagidagi matn ko‘rinishini taqqoslang.</x:v>
      </x:c>
      <x:c r="L16" s="24" t="str">
        <x:v>Mavjud amaliy faoliyat tegishli nazariy tushunchalarga many-to-many mapping qilindi.</x:v>
      </x:c>
      <x:c r="M16" s="24" t="str">
        <x:v>KimyoLab_v19.html</x:v>
      </x:c>
    </x:row>
    <x:row r="17">
      <x:c r="A17" s="24" t="n">
        <x:v>13</x:v>
      </x:c>
      <x:c r="B17" s="24" t="str">
        <x:v>7-sinf</x:v>
      </x:c>
      <x:c r="C17" s="24" t="str">
        <x:v>7.13</x:v>
      </x:c>
      <x:c r="D17" s="24" t="str">
        <x:v>Olma tarkibini aniqlash</x:v>
      </x:c>
      <x:c r="E17" s="24" t="str">
        <x:v>7-sinf darsligi, 162-bet</x:v>
      </x:c>
      <x:c r="F17" s="24" t="str">
        <x:v>Amaliy tajriba</x:v>
      </x:c>
      <x:c r="G17" s="24" t="str">
        <x:v>Lab</x:v>
      </x:c>
      <x:c r="H17" s="24" t="str">
        <x:v>7.22</x:v>
      </x:c>
      <x:c r="I17" s="24" t="str">
        <x:v>Tirik organizmlardagi elementlar, oqsil, yog‘, uglevod, vitamin va minerallar</x:v>
      </x:c>
      <x:c r="J17" s="24" t="str">
        <x:v>Bog‘langan</x:v>
      </x:c>
      <x:c r="K17" s="24" t="str">
        <x:v>Uch xil olma sharbatining kislotaliligini universal indikator yordamida taqqoslang.</x:v>
      </x:c>
      <x:c r="L17" s="24" t="str">
        <x:v>Mavjud amaliy faoliyat tegishli nazariy tushunchalarga many-to-many mapping qilindi.</x:v>
      </x:c>
      <x:c r="M17" s="24" t="str">
        <x:v>KimyoLab_v19.html</x:v>
      </x:c>
    </x:row>
    <x:row r="18">
      <x:c r="A18" s="24" t="n">
        <x:v>14</x:v>
      </x:c>
      <x:c r="B18" s="24" t="str">
        <x:v>7-sinf</x:v>
      </x:c>
      <x:c r="C18" s="24" t="str">
        <x:v>7.14</x:v>
      </x:c>
      <x:c r="D18" s="24" t="str">
        <x:v>Ekologik izni kamaytirish</x:v>
      </x:c>
      <x:c r="E18" s="24" t="str">
        <x:v>7-sinf darsligi, 173–174-betlar</x:v>
      </x:c>
      <x:c r="F18" s="24" t="str">
        <x:v>Amaliy mashg‘ulot</x:v>
      </x:c>
      <x:c r="G18" s="24" t="str">
        <x:v>Case</x:v>
      </x:c>
      <x:c r="H18" s="24" t="str">
        <x:v>7.18; 7.21; 7.23</x:v>
      </x:c>
      <x:c r="I18" s="24" t="str">
        <x:v>Havo tarkibi va havoning ifloslanishi; Suv: tarkibi, aylanishi, xossalari, neytrallanish va tozalash; Foydali qazilmalar, konlar va ekologik aspektlar</x:v>
      </x:c>
      <x:c r="J18" s="24" t="str">
        <x:v>Bog‘langan</x:v>
      </x:c>
      <x:c r="K18" s="24" t="str">
        <x:v>Oynaning ikki qismini alohida tozalang: bir tomonini sirka, ikkinchi tomonini maxsus oyna tozalagich bilan arting. Natijani taqqoslang.</x:v>
      </x:c>
      <x:c r="L18" s="24" t="str">
        <x:v>Mavjud amaliy faoliyat tegishli nazariy tushunchalarga many-to-many mapping qilindi.</x:v>
      </x:c>
      <x:c r="M18" s="24" t="str">
        <x:v>KimyoLab_v19.html</x:v>
      </x:c>
    </x:row>
    <x:row r="19">
      <x:c r="A19" s="24" t="n">
        <x:v>15</x:v>
      </x:c>
      <x:c r="B19" s="24" t="str">
        <x:v>8-sinf</x:v>
      </x:c>
      <x:c r="C19" s="24" t="str">
        <x:v>8.1</x:v>
      </x:c>
      <x:c r="D19" s="24" t="str">
        <x:v>“Galogenlar” mavzusi bo‘yicha tajribaviy masalalar yechish</x:v>
      </x:c>
      <x:c r="E19" s="24" t="str">
        <x:v>8-sinf darsligi, 124-bet</x:v>
      </x:c>
      <x:c r="F19" s="24" t="str">
        <x:v>1-amaliy ish</x:v>
      </x:c>
      <x:c r="G19" s="24" t="str">
        <x:v>Lab</x:v>
      </x:c>
      <x:c r="H19" s="24" t="str">
        <x:v>8.14; 8.16</x:v>
      </x:c>
      <x:c r="I19" s="24" t="str">
        <x:v>Oksidlanish-qaytarilish reaksiyalari va tenglamalarni tuzish; Galogenlar: atom tuzilishi, xlor, HCl, xlorid kislota, ftor, brom va yod</x:v>
      </x:c>
      <x:c r="J19" s="24" t="str">
        <x:v>Bog‘langan</x:v>
      </x:c>
      <x:c r="K19" s="24" t="str">
        <x:v>Xlorid kislota tarkibida vodorod va xlor ionlari mavjudligini tajriba yo‘li bilan isbotlang.</x:v>
      </x:c>
      <x:c r="L19" s="24" t="str">
        <x:v>Mavjud amaliy faoliyat tegishli nazariy tushunchalarga many-to-many mapping qilindi.</x:v>
      </x:c>
      <x:c r="M19" s="24" t="str">
        <x:v>KimyoLab_v19.html</x:v>
      </x:c>
    </x:row>
    <x:row r="20">
      <x:c r="A20" s="24" t="n">
        <x:v>16</x:v>
      </x:c>
      <x:c r="B20" s="24" t="str">
        <x:v>8-sinf</x:v>
      </x:c>
      <x:c r="C20" s="24" t="str">
        <x:v>8.2</x:v>
      </x:c>
      <x:c r="D20" s="24" t="str">
        <x:v>“Oltingugurt” mavzusi bo‘yicha tajribaviy masalalar yechish</x:v>
      </x:c>
      <x:c r="E20" s="24" t="str">
        <x:v>8-sinf darsligi, 151-bet</x:v>
      </x:c>
      <x:c r="F20" s="24" t="str">
        <x:v>2-amaliy ish</x:v>
      </x:c>
      <x:c r="G20" s="24" t="str">
        <x:v>Lab</x:v>
      </x:c>
      <x:c r="H20" s="24" t="str">
        <x:v>8.18; 8.21</x:v>
      </x:c>
      <x:c r="I20" s="24" t="str">
        <x:v>Kislorod guruhchasi va oltingugurt birikmalari; Sulfat kislota ishlab chiqarish</x:v>
      </x:c>
      <x:c r="J20" s="24" t="str">
        <x:v>Bog‘langan</x:v>
      </x:c>
      <x:c r="K20" s="24" t="str">
        <x:v>Berilgan modda sulfat kislota ekanini tajriba yo‘li bilan isbotlang.</x:v>
      </x:c>
      <x:c r="L20" s="24" t="str">
        <x:v>Mavjud amaliy faoliyat tegishli nazariy tushunchalarga many-to-many mapping qilindi.</x:v>
      </x:c>
      <x:c r="M20" s="24" t="str">
        <x:v>KimyoLab_v19.html</x:v>
      </x:c>
    </x:row>
    <x:row r="21">
      <x:c r="A21" s="24" t="n">
        <x:v>17</x:v>
      </x:c>
      <x:c r="B21" s="24" t="str">
        <x:v>8-sinf</x:v>
      </x:c>
      <x:c r="C21" s="24" t="str">
        <x:v>8.3</x:v>
      </x:c>
      <x:c r="D21" s="24" t="str">
        <x:v>Ammiak olish va u bilan tajribalar o‘tkazish</x:v>
      </x:c>
      <x:c r="E21" s="24" t="str">
        <x:v>8-sinf darsligi, 170–171-betlar</x:v>
      </x:c>
      <x:c r="F21" s="24" t="str">
        <x:v>3-amaliy ish</x:v>
      </x:c>
      <x:c r="G21" s="24" t="str">
        <x:v>Lab</x:v>
      </x:c>
      <x:c r="H21" s="24" t="str">
        <x:v>8.22</x:v>
      </x:c>
      <x:c r="I21" s="24" t="str">
        <x:v>Azot, ammiak va azotning kislorodli birikmalari</x:v>
      </x:c>
      <x:c r="J21" s="24" t="str">
        <x:v>Bog‘langan</x:v>
      </x:c>
      <x:c r="K21" s="24" t="str">
        <x:v>Apparatni darslikdagi sxema asosida yig‘ing.</x:v>
      </x:c>
      <x:c r="L21" s="24" t="str">
        <x:v>Mavjud amaliy faoliyat tegishli nazariy tushunchalarga many-to-many mapping qilindi.</x:v>
      </x:c>
      <x:c r="M21" s="24" t="str">
        <x:v>KimyoLab_v19.html</x:v>
      </x:c>
    </x:row>
    <x:row r="22">
      <x:c r="A22" s="24" t="n">
        <x:v>18</x:v>
      </x:c>
      <x:c r="B22" s="24" t="str">
        <x:v>8-sinf</x:v>
      </x:c>
      <x:c r="C22" s="24" t="str">
        <x:v>8.4</x:v>
      </x:c>
      <x:c r="D22" s="24" t="str">
        <x:v>“Azot” guruhchasi elementlari mavzusiga oid tajribaviy masalalar</x:v>
      </x:c>
      <x:c r="E22" s="24" t="str">
        <x:v>8-sinf darsligi, 184-bet</x:v>
      </x:c>
      <x:c r="F22" s="24" t="str">
        <x:v>4-amaliy ish</x:v>
      </x:c>
      <x:c r="G22" s="24" t="str">
        <x:v>Lab</x:v>
      </x:c>
      <x:c r="H22" s="24" t="str">
        <x:v>8.22; 8.23</x:v>
      </x:c>
      <x:c r="I22" s="24" t="str">
        <x:v>Azot, ammiak va azotning kislorodli birikmalari; Fosfor va uning kislorodli birikmalari</x:v>
      </x:c>
      <x:c r="J22" s="24" t="str">
        <x:v>Bog‘langan</x:v>
      </x:c>
      <x:c r="K22" s="24" t="str">
        <x:v>NH4Cl kristallari bilan ohak kukuni aralashmasini probirkaning 1/3 qismigacha soling, ohista qizdiring va olingan gazning ammiak ekanini isbotlang.</x:v>
      </x:c>
      <x:c r="L22" s="24" t="str">
        <x:v>Mavjud amaliy faoliyat tegishli nazariy tushunchalarga many-to-many mapping qilindi.</x:v>
      </x:c>
      <x:c r="M22" s="24" t="str">
        <x:v>KimyoLab_v19.html</x:v>
      </x:c>
    </x:row>
    <x:row r="23">
      <x:c r="A23" s="24" t="n">
        <x:v>19</x:v>
      </x:c>
      <x:c r="B23" s="24" t="str">
        <x:v>8-sinf</x:v>
      </x:c>
      <x:c r="C23" s="24" t="str">
        <x:v>8.5</x:v>
      </x:c>
      <x:c r="D23" s="24" t="str">
        <x:v>Mineral o‘g‘itlarni aniqlash</x:v>
      </x:c>
      <x:c r="E23" s="24" t="str">
        <x:v>8-sinf darsligi, 197-bet</x:v>
      </x:c>
      <x:c r="F23" s="24" t="str">
        <x:v>5-amaliy ish</x:v>
      </x:c>
      <x:c r="G23" s="24" t="str">
        <x:v>Lab</x:v>
      </x:c>
      <x:c r="H23" s="24" t="str">
        <x:v>8.24</x:v>
      </x:c>
      <x:c r="I23" s="24" t="str">
        <x:v>Mineral o‘g‘itlar va biogen elementlar</x:v>
      </x:c>
      <x:c r="J23" s="24" t="str">
        <x:v>Bog‘langan</x:v>
      </x:c>
      <x:c r="K23" s="24" t="str">
        <x:v>1-variant: KNO3, NH4NO3 va superfosfat solingan probirkalarni aniqlang.</x:v>
      </x:c>
      <x:c r="L23" s="24" t="str">
        <x:v>Mavjud amaliy faoliyat tegishli nazariy tushunchalarga many-to-many mapping qilindi.</x:v>
      </x:c>
      <x:c r="M23" s="24" t="str">
        <x:v>KimyoLab_v19.html</x:v>
      </x:c>
    </x:row>
    <x:row r="24">
      <x:c r="A24" s="24" t="n">
        <x:v>20</x:v>
      </x:c>
      <x:c r="B24" s="24" t="str">
        <x:v>8-sinf</x:v>
      </x:c>
      <x:c r="C24" s="24" t="str">
        <x:v>8.6</x:v>
      </x:c>
      <x:c r="D24" s="24" t="str">
        <x:v>Rux gidroksidning olinishi, unga kislota va ishqor ta’siri</x:v>
      </x:c>
      <x:c r="E24" s="24" t="str">
        <x:v>8-sinf darsligi, 200-bet</x:v>
      </x:c>
      <x:c r="F24" s="24" t="str">
        <x:v>1-laboratoriya ishi</x:v>
      </x:c>
      <x:c r="G24" s="24" t="str">
        <x:v>Lab</x:v>
      </x:c>
      <x:c r="H24" s="24" t="str">
        <x:v>8.01</x:v>
      </x:c>
      <x:c r="I24" s="24" t="str">
        <x:v>Dastlabki kimyoviy tushunchalar va noorganik birikmalarning asosiy sinflari</x:v>
      </x:c>
      <x:c r="J24" s="24" t="str">
        <x:v>Bog‘langan</x:v>
      </x:c>
      <x:c r="K24" s="24" t="str">
        <x:v>Probirkaga 1–2 ml 5% NaOH eritmasi quying.</x:v>
      </x:c>
      <x:c r="L24" s="24" t="str">
        <x:v>Mavjud amaliy faoliyat tegishli nazariy tushunchalarga many-to-many mapping qilindi.</x:v>
      </x:c>
      <x:c r="M24" s="24" t="str">
        <x:v>KimyoLab_v19.html</x:v>
      </x:c>
    </x:row>
    <x:row r="25">
      <x:c r="A25" s="24" t="n">
        <x:v>21</x:v>
      </x:c>
      <x:c r="B25" s="24" t="str">
        <x:v>8-sinf</x:v>
      </x:c>
      <x:c r="C25" s="24" t="str">
        <x:v>8.7</x:v>
      </x:c>
      <x:c r="D25" s="24" t="str">
        <x:v>Turli kimyoviy bog‘lanishli moddalar kristall panjaralari modellarini tayyorlash</x:v>
      </x:c>
      <x:c r="E25" s="24" t="str">
        <x:v>8-sinf darsligi, 200–201-betlar</x:v>
      </x:c>
      <x:c r="F25" s="24" t="str">
        <x:v>2-laboratoriya ishi</x:v>
      </x:c>
      <x:c r="G25" s="24" t="str">
        <x:v>Simulyatsiya</x:v>
      </x:c>
      <x:c r="H25" s="24" t="str">
        <x:v>8.10; 8.11; 8.12</x:v>
      </x:c>
      <x:c r="I25" s="24" t="str">
        <x:v>Qutbli va qutbsiz kovalent bog‘lanish; Ionli bog‘lanish; Kristall panjaralar</x:v>
      </x:c>
      <x:c r="J25" s="24" t="str">
        <x:v>Bog‘langan</x:v>
      </x:c>
      <x:c r="K25" s="24" t="str">
        <x:v>KCl ning ion bog‘lanishli modda ekanini aniqlang va ion bog‘lanishli moddalarga misollar keltiring.</x:v>
      </x:c>
      <x:c r="L25" s="24" t="str">
        <x:v>Mavjud amaliy faoliyat tegishli nazariy tushunchalarga many-to-many mapping qilindi.</x:v>
      </x:c>
      <x:c r="M25" s="24" t="str">
        <x:v>KimyoLab_v19.html</x:v>
      </x:c>
    </x:row>
    <x:row r="26">
      <x:c r="A26" s="24" t="n">
        <x:v>22</x:v>
      </x:c>
      <x:c r="B26" s="24" t="str">
        <x:v>8-sinf</x:v>
      </x:c>
      <x:c r="C26" s="24" t="str">
        <x:v>8.8</x:v>
      </x:c>
      <x:c r="D26" s="24" t="str">
        <x:v>Xlorid kislota, galogenidlar va yod uchun sifat reaksiyalari</x:v>
      </x:c>
      <x:c r="E26" s="24" t="str">
        <x:v>8-sinf darsligi, 201-bet</x:v>
      </x:c>
      <x:c r="F26" s="24" t="str">
        <x:v>3-laboratoriya ishi</x:v>
      </x:c>
      <x:c r="G26" s="24" t="str">
        <x:v>Lab</x:v>
      </x:c>
      <x:c r="H26" s="24" t="str">
        <x:v>8.16</x:v>
      </x:c>
      <x:c r="I26" s="24" t="str">
        <x:v>Galogenlar: atom tuzilishi, xlor, HCl, xlorid kislota, ftor, brom va yod</x:v>
      </x:c>
      <x:c r="J26" s="24" t="str">
        <x:v>Bog‘langan</x:v>
      </x:c>
      <x:c r="K26" s="24" t="str">
        <x:v>Daftarga reagentlar jadvalini ko‘chiring.</x:v>
      </x:c>
      <x:c r="L26" s="24" t="str">
        <x:v>Mavjud amaliy faoliyat tegishli nazariy tushunchalarga many-to-many mapping qilindi.</x:v>
      </x:c>
      <x:c r="M26" s="24" t="str">
        <x:v>KimyoLab_v19.html</x:v>
      </x:c>
    </x:row>
    <x:row r="27">
      <x:c r="A27" s="24" t="n">
        <x:v>23</x:v>
      </x:c>
      <x:c r="B27" s="24" t="str">
        <x:v>8-sinf</x:v>
      </x:c>
      <x:c r="C27" s="24" t="str">
        <x:v>8.9</x:v>
      </x:c>
      <x:c r="D27" s="24" t="str">
        <x:v>Tuproq eritmasi tarkibida xloridlar borligini aniqlash</x:v>
      </x:c>
      <x:c r="E27" s="24" t="str">
        <x:v>8-sinf darsligi, 201-bet</x:v>
      </x:c>
      <x:c r="F27" s="24" t="str">
        <x:v>4-laboratoriya ishi</x:v>
      </x:c>
      <x:c r="G27" s="24" t="str">
        <x:v>Lab</x:v>
      </x:c>
      <x:c r="H27" s="24" t="str">
        <x:v>8.16</x:v>
      </x:c>
      <x:c r="I27" s="24" t="str">
        <x:v>Galogenlar: atom tuzilishi, xlor, HCl, xlorid kislota, ftor, brom va yod</x:v>
      </x:c>
      <x:c r="J27" s="24" t="str">
        <x:v>Bog‘langan</x:v>
      </x:c>
      <x:c r="K27" s="24" t="str">
        <x:v>Maktab tajriba maydonidan olingan tuproqni suv bilan aralashtiring.</x:v>
      </x:c>
      <x:c r="L27" s="24" t="str">
        <x:v>Mavjud amaliy faoliyat tegishli nazariy tushunchalarga many-to-many mapping qilindi.</x:v>
      </x:c>
      <x:c r="M27" s="24" t="str">
        <x:v>KimyoLab_v19.html</x:v>
      </x:c>
    </x:row>
    <x:row r="28">
      <x:c r="A28" s="24" t="n">
        <x:v>24</x:v>
      </x:c>
      <x:c r="B28" s="24" t="str">
        <x:v>8-sinf</x:v>
      </x:c>
      <x:c r="C28" s="24" t="str">
        <x:v>8.10</x:v>
      </x:c>
      <x:c r="D28" s="24" t="str">
        <x:v>Galogenlarning birikmalar eritmalaridan bir-birini siqib chiqarishi</x:v>
      </x:c>
      <x:c r="E28" s="24" t="str">
        <x:v>8-sinf darsligi, 202-bet</x:v>
      </x:c>
      <x:c r="F28" s="24" t="str">
        <x:v>5-laboratoriya ishi</x:v>
      </x:c>
      <x:c r="G28" s="24" t="str">
        <x:v>Lab</x:v>
      </x:c>
      <x:c r="H28" s="24" t="str">
        <x:v>8.14; 8.16</x:v>
      </x:c>
      <x:c r="I28" s="24" t="str">
        <x:v>Oksidlanish-qaytarilish reaksiyalari va tenglamalarni tuzish; Galogenlar: atom tuzilishi, xlor, HCl, xlorid kislota, ftor, brom va yod</x:v>
      </x:c>
      <x:c r="J28" s="24" t="str">
        <x:v>Bog‘langan</x:v>
      </x:c>
      <x:c r="K28" s="24" t="str">
        <x:v>Jadvalni daftarga ko‘chiring.</x:v>
      </x:c>
      <x:c r="L28" s="24" t="str">
        <x:v>Mavjud amaliy faoliyat tegishli nazariy tushunchalarga many-to-many mapping qilindi.</x:v>
      </x:c>
      <x:c r="M28" s="24" t="str">
        <x:v>KimyoLab_v19.html</x:v>
      </x:c>
    </x:row>
    <x:row r="29">
      <x:c r="A29" s="24" t="n">
        <x:v>25</x:v>
      </x:c>
      <x:c r="B29" s="24" t="str">
        <x:v>8-sinf</x:v>
      </x:c>
      <x:c r="C29" s="24" t="str">
        <x:v>8.11</x:v>
      </x:c>
      <x:c r="D29" s="24" t="str">
        <x:v>Galogenlarning suvda va organik erituvchilarda erishi</x:v>
      </x:c>
      <x:c r="E29" s="24" t="str">
        <x:v>8-sinf darsligi, 202-bet</x:v>
      </x:c>
      <x:c r="F29" s="24" t="str">
        <x:v>6-laboratoriya ishi</x:v>
      </x:c>
      <x:c r="G29" s="24" t="str">
        <x:v>Lab</x:v>
      </x:c>
      <x:c r="H29" s="24" t="str">
        <x:v>8.16</x:v>
      </x:c>
      <x:c r="I29" s="24" t="str">
        <x:v>Galogenlar: atom tuzilishi, xlor, HCl, xlorid kislota, ftor, brom va yod</x:v>
      </x:c>
      <x:c r="J29" s="24" t="str">
        <x:v>Bog‘langan</x:v>
      </x:c>
      <x:c r="K29" s="24" t="str">
        <x:v>Probirkaga 3–4 bo‘lak yod kristali soling va 1–2 ml suv qo‘shib aralashtiring.</x:v>
      </x:c>
      <x:c r="L29" s="24" t="str">
        <x:v>Mavjud amaliy faoliyat tegishli nazariy tushunchalarga many-to-many mapping qilindi.</x:v>
      </x:c>
      <x:c r="M29" s="24" t="str">
        <x:v>KimyoLab_v19.html</x:v>
      </x:c>
    </x:row>
    <x:row r="30">
      <x:c r="A30" s="24" t="n">
        <x:v>26</x:v>
      </x:c>
      <x:c r="B30" s="24" t="str">
        <x:v>8-sinf</x:v>
      </x:c>
      <x:c r="C30" s="24" t="str">
        <x:v>8.12</x:v>
      </x:c>
      <x:c r="D30" s="24" t="str">
        <x:v>Oltingugurt va uning tabiiy birikmalari namunalari bilan tanishish</x:v>
      </x:c>
      <x:c r="E30" s="24" t="str">
        <x:v>8-sinf darsligi, 203-bet</x:v>
      </x:c>
      <x:c r="F30" s="24" t="str">
        <x:v>7-laboratoriya ishi</x:v>
      </x:c>
      <x:c r="G30" s="24" t="str">
        <x:v>Lab</x:v>
      </x:c>
      <x:c r="H30" s="24" t="str">
        <x:v>8.15; 8.18</x:v>
      </x:c>
      <x:c r="I30" s="24" t="str">
        <x:v>Metallmaslarning umumiy xossalari; Kislorod guruhchasi va oltingugurt birikmalari</x:v>
      </x:c>
      <x:c r="J30" s="24" t="str">
        <x:v>Bog‘langan</x:v>
      </x:c>
      <x:c r="K30" s="24" t="str">
        <x:v>Oltingugurt, pirit, rux aldamasi va gips namunalarini ko‘zdan kechiring.</x:v>
      </x:c>
      <x:c r="L30" s="24" t="str">
        <x:v>Mavjud amaliy faoliyat tegishli nazariy tushunchalarga many-to-many mapping qilindi.</x:v>
      </x:c>
      <x:c r="M30" s="24" t="str">
        <x:v>KimyoLab_v19.html</x:v>
      </x:c>
    </x:row>
    <x:row r="31">
      <x:c r="A31" s="24" t="n">
        <x:v>27</x:v>
      </x:c>
      <x:c r="B31" s="24" t="str">
        <x:v>8-sinf</x:v>
      </x:c>
      <x:c r="C31" s="24" t="str">
        <x:v>8.13</x:v>
      </x:c>
      <x:c r="D31" s="24" t="str">
        <x:v>Turli eritmalarda sulfat ioni borligini aniqlash</x:v>
      </x:c>
      <x:c r="E31" s="24" t="str">
        <x:v>8-sinf darsligi, 203-bet</x:v>
      </x:c>
      <x:c r="F31" s="24" t="str">
        <x:v>8-laboratoriya ishi</x:v>
      </x:c>
      <x:c r="G31" s="24" t="str">
        <x:v>Lab</x:v>
      </x:c>
      <x:c r="H31" s="24" t="str">
        <x:v>8.18</x:v>
      </x:c>
      <x:c r="I31" s="24" t="str">
        <x:v>Kislorod guruhchasi va oltingugurt birikmalari</x:v>
      </x:c>
      <x:c r="J31" s="24" t="str">
        <x:v>Bog‘langan</x:v>
      </x:c>
      <x:c r="K31" s="24" t="str">
        <x:v>To‘rtta probirkaga H2SO4, Na2SO4, CuSO4 va Al2(SO4)3 eritmalaridan 2–3 ml quying.</x:v>
      </x:c>
      <x:c r="L31" s="24" t="str">
        <x:v>Mavjud amaliy faoliyat tegishli nazariy tushunchalarga many-to-many mapping qilindi.</x:v>
      </x:c>
      <x:c r="M31" s="24" t="str">
        <x:v>KimyoLab_v19.html</x:v>
      </x:c>
    </x:row>
    <x:row r="32">
      <x:c r="A32" s="24" t="n">
        <x:v>28</x:v>
      </x:c>
      <x:c r="B32" s="24" t="str">
        <x:v>8-sinf</x:v>
      </x:c>
      <x:c r="C32" s="24" t="str">
        <x:v>8.14</x:v>
      </x:c>
      <x:c r="D32" s="24" t="str">
        <x:v>Ammoniy tuziga so‘ndirilgan ohak ta’sir ettirib ammiak olish</x:v>
      </x:c>
      <x:c r="E32" s="24" t="str">
        <x:v>8-sinf darsligi, 203–204-betlar</x:v>
      </x:c>
      <x:c r="F32" s="24" t="str">
        <x:v>9-laboratoriya ishi</x:v>
      </x:c>
      <x:c r="G32" s="24" t="str">
        <x:v>Lab</x:v>
      </x:c>
      <x:c r="H32" s="24" t="str">
        <x:v>8.22</x:v>
      </x:c>
      <x:c r="I32" s="24" t="str">
        <x:v>Azot, ammiak va azotning kislorodli birikmalari</x:v>
      </x:c>
      <x:c r="J32" s="24" t="str">
        <x:v>Bog‘langan</x:v>
      </x:c>
      <x:c r="K32" s="24" t="str">
        <x:v>NH4Cl va so‘ndirilgan ohakning 1,5:1 massa nisbatidagi aralashmasini probirkaga soling va gaz o‘tkazgich nayli tiqin bilan yoping.</x:v>
      </x:c>
      <x:c r="L32" s="24" t="str">
        <x:v>Mavjud amaliy faoliyat tegishli nazariy tushunchalarga many-to-many mapping qilindi.</x:v>
      </x:c>
      <x:c r="M32" s="24" t="str">
        <x:v>KimyoLab_v19.html</x:v>
      </x:c>
    </x:row>
    <x:row r="33">
      <x:c r="A33" s="24" t="n">
        <x:v>29</x:v>
      </x:c>
      <x:c r="B33" s="24" t="str">
        <x:v>8-sinf</x:v>
      </x:c>
      <x:c r="C33" s="24" t="str">
        <x:v>8.15</x:v>
      </x:c>
      <x:c r="D33" s="24" t="str">
        <x:v>Mineral o‘g‘itlar namunalari bilan tanishish</x:v>
      </x:c>
      <x:c r="E33" s="24" t="str">
        <x:v>8-sinf darsligi, 204-bet</x:v>
      </x:c>
      <x:c r="F33" s="24" t="str">
        <x:v>10-laboratoriya ishi</x:v>
      </x:c>
      <x:c r="G33" s="24" t="str">
        <x:v>Lab</x:v>
      </x:c>
      <x:c r="H33" s="24" t="str">
        <x:v>8.24</x:v>
      </x:c>
      <x:c r="I33" s="24" t="str">
        <x:v>Mineral o‘g‘itlar va biogen elementlar</x:v>
      </x:c>
      <x:c r="J33" s="24" t="str">
        <x:v>Bog‘langan</x:v>
      </x:c>
      <x:c r="K33" s="24" t="str">
        <x:v>O‘qituvchi bergan mineral o‘g‘it namunalarini diqqat bilan ko‘zdan kechiring.</x:v>
      </x:c>
      <x:c r="L33" s="24" t="str">
        <x:v>Mavjud amaliy faoliyat tegishli nazariy tushunchalarga many-to-many mapping qilindi.</x:v>
      </x:c>
      <x:c r="M33" s="24" t="str">
        <x:v>KimyoLab_v19.html</x:v>
      </x:c>
    </x:row>
    <x:row r="34">
      <x:c r="A34" s="24" t="n">
        <x:v>30</x:v>
      </x:c>
      <x:c r="B34" s="24" t="str">
        <x:v>9-sinf</x:v>
      </x:c>
      <x:c r="C34" s="24" t="str">
        <x:v>9.1</x:v>
      </x:c>
      <x:c r="D34" s="24" t="str">
        <x:v>Uglerod(IV)-oksid hosil qilish va uning xossalari bilan tanishish</x:v>
      </x:c>
      <x:c r="E34" s="24" t="str">
        <x:v>9-sinf darsligi, 192–193-betlar</x:v>
      </x:c>
      <x:c r="F34" s="24" t="str">
        <x:v>1-amaliy ish</x:v>
      </x:c>
      <x:c r="G34" s="24" t="str">
        <x:v>Lab</x:v>
      </x:c>
      <x:c r="H34" s="24" t="str">
        <x:v>9.07; 9.09</x:v>
      </x:c>
      <x:c r="I34" s="24" t="str">
        <x:v>Uglerod guruhidagi elementlarning umumiy tavsifi; Uglerodning eng muhim birikmalari</x:v>
      </x:c>
      <x:c r="J34" s="24" t="str">
        <x:v>Bog‘langan</x:v>
      </x:c>
      <x:c r="K34" s="24" t="str">
        <x:v>Probirkaga bo‘r yoki marmar bo‘laklari soling va ozgina suyultirilgan HCl quying.</x:v>
      </x:c>
      <x:c r="L34" s="24" t="str">
        <x:v>Mavjud amaliy faoliyat tegishli nazariy tushunchalarga many-to-many mapping qilindi.</x:v>
      </x:c>
      <x:c r="M34" s="24" t="str">
        <x:v>KimyoLab_v19.html</x:v>
      </x:c>
    </x:row>
    <x:row r="35">
      <x:c r="A35" s="24" t="n">
        <x:v>31</x:v>
      </x:c>
      <x:c r="B35" s="24" t="str">
        <x:v>9-sinf</x:v>
      </x:c>
      <x:c r="C35" s="24" t="str">
        <x:v>9.2</x:v>
      </x:c>
      <x:c r="D35" s="24" t="str">
        <x:v>“Ishqoriy metallar” va “Kalsiy” mavzulari bo‘yicha tajribaviy masalalar</x:v>
      </x:c>
      <x:c r="E35" s="24" t="str">
        <x:v>9-sinf darsligi, 193–194-betlar</x:v>
      </x:c>
      <x:c r="F35" s="24" t="str">
        <x:v>2-amaliy ish</x:v>
      </x:c>
      <x:c r="G35" s="24" t="str">
        <x:v>Lab</x:v>
      </x:c>
      <x:c r="H35" s="24" t="str">
        <x:v>9.16; 9.17; 9.18</x:v>
      </x:c>
      <x:c r="I35" s="24" t="str">
        <x:v>Ishqoriy metallar, natriy va kaliy birikmalari; Soda ishlab chiqarish; Kalsiy, magniy va suvning qattiqligi</x:v>
      </x:c>
      <x:c r="J35" s="24" t="str">
        <x:v>Bog‘langan</x:v>
      </x:c>
      <x:c r="K35" s="24" t="str">
        <x:v>NaCl, NaOH, Na2CO3 va NaNO3 solingan to‘rtta raqamlangan probirkani aniqlang.</x:v>
      </x:c>
      <x:c r="L35" s="24" t="str">
        <x:v>Mavjud amaliy faoliyat tegishli nazariy tushunchalarga many-to-many mapping qilindi.</x:v>
      </x:c>
      <x:c r="M35" s="24" t="str">
        <x:v>KimyoLab_v19.html</x:v>
      </x:c>
    </x:row>
    <x:row r="36">
      <x:c r="A36" s="24" t="n">
        <x:v>32</x:v>
      </x:c>
      <x:c r="B36" s="24" t="str">
        <x:v>9-sinf</x:v>
      </x:c>
      <x:c r="C36" s="24" t="str">
        <x:v>9.3</x:v>
      </x:c>
      <x:c r="D36" s="24" t="str">
        <x:v>“Metallar” mavzusi bo‘yicha tajribaviy masalalar</x:v>
      </x:c>
      <x:c r="E36" s="24" t="str">
        <x:v>9-sinf darsligi, 194–195-betlar</x:v>
      </x:c>
      <x:c r="F36" s="24" t="str">
        <x:v>3-amaliy ish</x:v>
      </x:c>
      <x:c r="G36" s="24" t="str">
        <x:v>Lab</x:v>
      </x:c>
      <x:c r="H36" s="24" t="str">
        <x:v>9.11; 9.13; 9.20</x:v>
      </x:c>
      <x:c r="I36" s="24" t="str">
        <x:v>Metallarning tarqalishi, olinishi va ishlatilishi; Metallarning fizik va kimyoviy xossalari; Mis, kumush va oltin</x:v>
      </x:c>
      <x:c r="J36" s="24" t="str">
        <x:v>Bog‘langan</x:v>
      </x:c>
      <x:c r="K36" s="24" t="str">
        <x:v>NaOH, CaCO3, Al2(SO4)3 va FeCl3 berilgan to‘rtta raqamlangan probirkani kimyoviy tajribalar bilan aniqlang.</x:v>
      </x:c>
      <x:c r="L36" s="24" t="str">
        <x:v>Mavjud amaliy faoliyat tegishli nazariy tushunchalarga many-to-many mapping qilindi.</x:v>
      </x:c>
      <x:c r="M36" s="24" t="str">
        <x:v>KimyoLab_v19.html</x:v>
      </x:c>
    </x:row>
    <x:row r="37">
      <x:c r="A37" s="24" t="n">
        <x:v>33</x:v>
      </x:c>
      <x:c r="B37" s="24" t="str">
        <x:v>9-sinf</x:v>
      </x:c>
      <x:c r="C37" s="24" t="str">
        <x:v>9.4</x:v>
      </x:c>
      <x:c r="D37" s="24" t="str">
        <x:v>Karbonatlar va gidrokarbonatlarning xossalari hamda o‘zaro aylanishi</x:v>
      </x:c>
      <x:c r="E37" s="24" t="str">
        <x:v>9-sinf darsligi, 195–196-betlar</x:v>
      </x:c>
      <x:c r="F37" s="24" t="str">
        <x:v>1-laboratoriya ishi</x:v>
      </x:c>
      <x:c r="G37" s="24" t="str">
        <x:v>Lab</x:v>
      </x:c>
      <x:c r="H37" s="24" t="str">
        <x:v>9.05; 9.07; 9.09</x:v>
      </x:c>
      <x:c r="I37" s="24" t="str">
        <x:v>Ion almashinish reaksiyalari; Uglerod guruhidagi elementlarning umumiy tavsifi; Uglerodning eng muhim birikmalari</x:v>
      </x:c>
      <x:c r="J37" s="24" t="str">
        <x:v>Bog‘langan</x:v>
      </x:c>
      <x:c r="K37" s="24" t="str">
        <x:v>Karbonat va gidrokarbonat namunalarini darslikdagi ko‘rsatma asosida reaktivlar bilan tekshiring.</x:v>
      </x:c>
      <x:c r="L37" s="24" t="str">
        <x:v>Mavjud amaliy faoliyat tegishli nazariy tushunchalarga many-to-many mapping qilindi.</x:v>
      </x:c>
      <x:c r="M37" s="24" t="str">
        <x:v>KimyoLab_v19.html</x:v>
      </x:c>
    </x:row>
    <x:row r="38">
      <x:c r="A38" s="24" t="n">
        <x:v>34</x:v>
      </x:c>
      <x:c r="B38" s="24" t="str">
        <x:v>9-sinf</x:v>
      </x:c>
      <x:c r="C38" s="24" t="str">
        <x:v>9.5</x:v>
      </x:c>
      <x:c r="D38" s="24" t="str">
        <x:v>Tabiiy silikatlar namunalari bilan tanishish</x:v>
      </x:c>
      <x:c r="E38" s="24" t="str">
        <x:v>9-sinf darsligi, 196-bet</x:v>
      </x:c>
      <x:c r="F38" s="24" t="str">
        <x:v>2-laboratoriya ishi</x:v>
      </x:c>
      <x:c r="G38" s="24" t="str">
        <x:v>Lab</x:v>
      </x:c>
      <x:c r="H38" s="24" t="str">
        <x:v>9.07; 9.10</x:v>
      </x:c>
      <x:c r="I38" s="24" t="str">
        <x:v>Uglerod guruhidagi elementlarning umumiy tavsifi; Kremniy va silikat sanoati</x:v>
      </x:c>
      <x:c r="J38" s="24" t="str">
        <x:v>Bog‘langan</x:v>
      </x:c>
      <x:c r="K38" s="24" t="str">
        <x:v>Berilgan tabiiy silikat namunalarini ko‘zdan kechiring.</x:v>
      </x:c>
      <x:c r="L38" s="24" t="str">
        <x:v>Mavjud amaliy faoliyat tegishli nazariy tushunchalarga many-to-many mapping qilindi.</x:v>
      </x:c>
      <x:c r="M38" s="24" t="str">
        <x:v>KimyoLab_v19.html</x:v>
      </x:c>
    </x:row>
    <x:row r="39">
      <x:c r="A39" s="24" t="n">
        <x:v>35</x:v>
      </x:c>
      <x:c r="B39" s="24" t="str">
        <x:v>9-sinf</x:v>
      </x:c>
      <x:c r="C39" s="24" t="str">
        <x:v>9.6</x:v>
      </x:c>
      <x:c r="D39" s="24" t="str">
        <x:v>Shisha turlari va shishadan yasalgan mahsulotlar bilan tanishish</x:v>
      </x:c>
      <x:c r="E39" s="24" t="str">
        <x:v>9-sinf darsligi, 196–197-betlar</x:v>
      </x:c>
      <x:c r="F39" s="24" t="str">
        <x:v>3-laboratoriya ishi</x:v>
      </x:c>
      <x:c r="G39" s="24" t="str">
        <x:v>Lab</x:v>
      </x:c>
      <x:c r="H39" s="24" t="str">
        <x:v>9.07; 9.10</x:v>
      </x:c>
      <x:c r="I39" s="24" t="str">
        <x:v>Uglerod guruhidagi elementlarning umumiy tavsifi; Kremniy va silikat sanoati</x:v>
      </x:c>
      <x:c r="J39" s="24" t="str">
        <x:v>Bog‘langan</x:v>
      </x:c>
      <x:c r="K39" s="24" t="str">
        <x:v>Turli shisha namunalarini va shishadan yasalgan buyumlarni ko‘zdan kechiring.</x:v>
      </x:c>
      <x:c r="L39" s="24" t="str">
        <x:v>Mavjud amaliy faoliyat tegishli nazariy tushunchalarga many-to-many mapping qilindi.</x:v>
      </x:c>
      <x:c r="M39" s="24" t="str">
        <x:v>KimyoLab_v19.html</x:v>
      </x:c>
    </x:row>
    <x:row r="40">
      <x:c r="A40" s="24" t="n">
        <x:v>36</x:v>
      </x:c>
      <x:c r="B40" s="24" t="str">
        <x:v>9-sinf</x:v>
      </x:c>
      <x:c r="C40" s="24" t="str">
        <x:v>9.7</x:v>
      </x:c>
      <x:c r="D40" s="24" t="str">
        <x:v>Metallar namunalari va issiqlik o‘tkazuvchanligini ko‘zdan kechirish</x:v>
      </x:c>
      <x:c r="E40" s="24" t="str">
        <x:v>9-sinf darsligi, 197-bet</x:v>
      </x:c>
      <x:c r="F40" s="24" t="str">
        <x:v>4-laboratoriya ishi</x:v>
      </x:c>
      <x:c r="G40" s="24" t="str">
        <x:v>Lab</x:v>
      </x:c>
      <x:c r="H40" s="24" t="str">
        <x:v>9.13</x:v>
      </x:c>
      <x:c r="I40" s="24" t="str">
        <x:v>Metallarning fizik va kimyoviy xossalari</x:v>
      </x:c>
      <x:c r="J40" s="24" t="str">
        <x:v>Bog‘langan</x:v>
      </x:c>
      <x:c r="K40" s="24" t="str">
        <x:v>Berilgan metall namunalarini ko‘zdan kechiring va nomlang.</x:v>
      </x:c>
      <x:c r="L40" s="24" t="str">
        <x:v>Mavjud amaliy faoliyat tegishli nazariy tushunchalarga many-to-many mapping qilindi.</x:v>
      </x:c>
      <x:c r="M40" s="24" t="str">
        <x:v>KimyoLab_v19.html</x:v>
      </x:c>
    </x:row>
    <x:row r="41">
      <x:c r="A41" s="24" t="n">
        <x:v>37</x:v>
      </x:c>
      <x:c r="B41" s="24" t="str">
        <x:v>9-sinf</x:v>
      </x:c>
      <x:c r="C41" s="24" t="str">
        <x:v>9.8</x:v>
      </x:c>
      <x:c r="D41" s="24" t="str">
        <x:v>Qotishmalar namunalari bilan tanishish</x:v>
      </x:c>
      <x:c r="E41" s="24" t="str">
        <x:v>9-sinf darsligi, 197–198-betlar</x:v>
      </x:c>
      <x:c r="F41" s="24" t="str">
        <x:v>5-laboratoriya ishi</x:v>
      </x:c>
      <x:c r="G41" s="24" t="str">
        <x:v>Lab</x:v>
      </x:c>
      <x:c r="H41" s="24" t="str">
        <x:v>9.12</x:v>
      </x:c>
      <x:c r="I41" s="24" t="str">
        <x:v>Qotishmalar</x:v>
      </x:c>
      <x:c r="J41" s="24" t="str">
        <x:v>Bog‘langan</x:v>
      </x:c>
      <x:c r="K41" s="24" t="str">
        <x:v>Berilgan qotishma namunalarini ko‘zdan kechiring.</x:v>
      </x:c>
      <x:c r="L41" s="24" t="str">
        <x:v>Mavjud amaliy faoliyat tegishli nazariy tushunchalarga many-to-many mapping qilindi.</x:v>
      </x:c>
      <x:c r="M41" s="24" t="str">
        <x:v>KimyoLab_v19.html</x:v>
      </x:c>
    </x:row>
    <x:row r="42">
      <x:c r="A42" s="24" t="n">
        <x:v>38</x:v>
      </x:c>
      <x:c r="B42" s="24" t="str">
        <x:v>9-sinf</x:v>
      </x:c>
      <x:c r="C42" s="24" t="str">
        <x:v>9.9</x:v>
      </x:c>
      <x:c r="D42" s="24" t="str">
        <x:v>Tuz eritmalari bilan metallarning o‘zaro ta’siri</x:v>
      </x:c>
      <x:c r="E42" s="24" t="str">
        <x:v>9-sinf darsligi, 198-bet</x:v>
      </x:c>
      <x:c r="F42" s="24" t="str">
        <x:v>6-laboratoriya ishi</x:v>
      </x:c>
      <x:c r="G42" s="24" t="str">
        <x:v>Lab</x:v>
      </x:c>
      <x:c r="H42" s="24" t="str">
        <x:v>9.05; 9.13; 9.20</x:v>
      </x:c>
      <x:c r="I42" s="24" t="str">
        <x:v>Ion almashinish reaksiyalari; Metallarning fizik va kimyoviy xossalari; Mis, kumush va oltin</x:v>
      </x:c>
      <x:c r="J42" s="24" t="str">
        <x:v>Bog‘langan</x:v>
      </x:c>
      <x:c r="K42" s="24" t="str">
        <x:v>Birinchi probirkaga AgNO3, ikkinchisiga CuSO4, uchinchisiga Pb(NO3)2 eritmasidan 2–3 ml quying.</x:v>
      </x:c>
      <x:c r="L42" s="24" t="str">
        <x:v>Mavjud amaliy faoliyat tegishli nazariy tushunchalarga many-to-many mapping qilindi.</x:v>
      </x:c>
      <x:c r="M42" s="24" t="str">
        <x:v>KimyoLab_v19.html</x:v>
      </x:c>
    </x:row>
    <x:row r="43">
      <x:c r="A43" s="24" t="n">
        <x:v>39</x:v>
      </x:c>
      <x:c r="B43" s="24" t="str">
        <x:v>9-sinf</x:v>
      </x:c>
      <x:c r="C43" s="24" t="str">
        <x:v>9.10</x:v>
      </x:c>
      <x:c r="D43" s="24" t="str">
        <x:v>Mis(II)-xlorid va kaliy yodid eritmalarining elektrolizi</x:v>
      </x:c>
      <x:c r="E43" s="24" t="str">
        <x:v>9-sinf darsligi, 198–199-betlar</x:v>
      </x:c>
      <x:c r="F43" s="24" t="str">
        <x:v>7-laboratoriya ishi</x:v>
      </x:c>
      <x:c r="G43" s="24" t="str">
        <x:v>Lab</x:v>
      </x:c>
      <x:c r="H43" s="24" t="str">
        <x:v>9.15</x:v>
      </x:c>
      <x:c r="I43" s="24" t="str">
        <x:v>Elektroliz va uning amaliy ahamiyati</x:v>
      </x:c>
      <x:c r="J43" s="24" t="str">
        <x:v>Bog‘langan</x:v>
      </x:c>
      <x:c r="K43" s="24" t="str">
        <x:v>U-simon nayning 3/4 qismigacha CuCl2 eritmasi quying. Bir tomonga mis, ikkinchi tomonga grafit elektrod tushiring. Grafitni katod, misni anod sifatida ulang.</x:v>
      </x:c>
      <x:c r="L43" s="24" t="str">
        <x:v>Mavjud amaliy faoliyat tegishli nazariy tushunchalarga many-to-many mapping qilindi.</x:v>
      </x:c>
      <x:c r="M43" s="24" t="str">
        <x:v>KimyoLab_v19.html</x:v>
      </x:c>
    </x:row>
    <x:row r="44">
      <x:c r="A44" s="24" t="n">
        <x:v>40</x:v>
      </x:c>
      <x:c r="B44" s="24" t="str">
        <x:v>9-sinf</x:v>
      </x:c>
      <x:c r="C44" s="24" t="str">
        <x:v>9.11</x:v>
      </x:c>
      <x:c r="D44" s="24" t="str">
        <x:v>Alyuminiyning kislota va ishqor eritmalari bilan o‘zaro ta’siri</x:v>
      </x:c>
      <x:c r="E44" s="24" t="str">
        <x:v>9-sinf darsligi, 199-bet</x:v>
      </x:c>
      <x:c r="F44" s="24" t="str">
        <x:v>8-laboratoriya ishi</x:v>
      </x:c>
      <x:c r="G44" s="24" t="str">
        <x:v>Lab</x:v>
      </x:c>
      <x:c r="H44" s="24" t="str">
        <x:v>9.19</x:v>
      </x:c>
      <x:c r="I44" s="24" t="str">
        <x:v>Alyuminiy va uning birikmalari</x:v>
      </x:c>
      <x:c r="J44" s="24" t="str">
        <x:v>Bog‘langan</x:v>
      </x:c>
      <x:c r="K44" s="24" t="str">
        <x:v>Alyuminiy namunalarining kislota va ishqor eritmalaridagi xatti-harakatini darslik ko‘rsatmasiga muvofiq kuzating.</x:v>
      </x:c>
      <x:c r="L44" s="24" t="str">
        <x:v>Mavjud amaliy faoliyat tegishli nazariy tushunchalarga many-to-many mapping qilindi.</x:v>
      </x:c>
      <x:c r="M44" s="24" t="str">
        <x:v>KimyoLab_v19.html</x:v>
      </x:c>
    </x:row>
    <x:row r="45">
      <x:c r="A45" s="24" t="n">
        <x:v>41</x:v>
      </x:c>
      <x:c r="B45" s="24" t="str">
        <x:v>9-sinf</x:v>
      </x:c>
      <x:c r="C45" s="24" t="str">
        <x:v>9.12</x:v>
      </x:c>
      <x:c r="D45" s="24" t="str">
        <x:v>Alyuminiy namunalari va qotishmalari bilan tanishish</x:v>
      </x:c>
      <x:c r="E45" s="24" t="str">
        <x:v>9-sinf darsligi, 199-bet</x:v>
      </x:c>
      <x:c r="F45" s="24" t="str">
        <x:v>9-laboratoriya ishi</x:v>
      </x:c>
      <x:c r="G45" s="24" t="str">
        <x:v>Lab</x:v>
      </x:c>
      <x:c r="H45" s="24" t="str">
        <x:v>9.12; 9.19</x:v>
      </x:c>
      <x:c r="I45" s="24" t="str">
        <x:v>Qotishmalar; Alyuminiy va uning birikmalari</x:v>
      </x:c>
      <x:c r="J45" s="24" t="str">
        <x:v>Bog‘langan</x:v>
      </x:c>
      <x:c r="K45" s="24" t="str">
        <x:v>Alyuminiy va uning qotishmalari namunalarini ko‘zdan kechiring.</x:v>
      </x:c>
      <x:c r="L45" s="24" t="str">
        <x:v>Mavjud amaliy faoliyat tegishli nazariy tushunchalarga many-to-many mapping qilindi.</x:v>
      </x:c>
      <x:c r="M45" s="24" t="str">
        <x:v>KimyoLab_v19.html</x:v>
      </x:c>
    </x:row>
    <x:row r="46">
      <x:c r="A46" s="24" t="n">
        <x:v>42</x:v>
      </x:c>
      <x:c r="B46" s="24" t="str">
        <x:v>9-sinf</x:v>
      </x:c>
      <x:c r="C46" s="24" t="str">
        <x:v>9.13</x:v>
      </x:c>
      <x:c r="D46" s="24" t="str">
        <x:v>Alyuminiy gidroksidni olish va uning xossalari</x:v>
      </x:c>
      <x:c r="E46" s="24" t="str">
        <x:v>9-sinf darsligi, 199–200-betlar</x:v>
      </x:c>
      <x:c r="F46" s="24" t="str">
        <x:v>10-laboratoriya ishi</x:v>
      </x:c>
      <x:c r="G46" s="24" t="str">
        <x:v>Lab</x:v>
      </x:c>
      <x:c r="H46" s="24" t="str">
        <x:v>9.05; 9.19</x:v>
      </x:c>
      <x:c r="I46" s="24" t="str">
        <x:v>Ion almashinish reaksiyalari; Alyuminiy va uning birikmalari</x:v>
      </x:c>
      <x:c r="J46" s="24" t="str">
        <x:v>Bog‘langan</x:v>
      </x:c>
      <x:c r="K46" s="24" t="str">
        <x:v>Alyuminiy tuzi eritmasiga ishqor qo‘shib Al(OH)3 cho‘kmasini oling.</x:v>
      </x:c>
      <x:c r="L46" s="24" t="str">
        <x:v>Mavjud amaliy faoliyat tegishli nazariy tushunchalarga many-to-many mapping qilindi.</x:v>
      </x:c>
      <x:c r="M46" s="24" t="str">
        <x:v>KimyoLab_v19.html</x:v>
      </x:c>
    </x:row>
    <x:row r="47">
      <x:c r="A47" s="24" t="n">
        <x:v>43</x:v>
      </x:c>
      <x:c r="B47" s="24" t="str">
        <x:v>9-sinf</x:v>
      </x:c>
      <x:c r="C47" s="24" t="str">
        <x:v>9.14</x:v>
      </x:c>
      <x:c r="D47" s="24" t="str">
        <x:v>Alyuminiy tuzlari eritmalarining indikatorlarga ta’siri</x:v>
      </x:c>
      <x:c r="E47" s="24" t="str">
        <x:v>9-sinf darsligi, 200-bet</x:v>
      </x:c>
      <x:c r="F47" s="24" t="str">
        <x:v>11-laboratoriya ishi</x:v>
      </x:c>
      <x:c r="G47" s="24" t="str">
        <x:v>Lab</x:v>
      </x:c>
      <x:c r="H47" s="24" t="str">
        <x:v>9.06; 9.19</x:v>
      </x:c>
      <x:c r="I47" s="24" t="str">
        <x:v>Tuzlarning gidrolizi; Alyuminiy va uning birikmalari</x:v>
      </x:c>
      <x:c r="J47" s="24" t="str">
        <x:v>Bog‘langan</x:v>
      </x:c>
      <x:c r="K47" s="24" t="str">
        <x:v>Alyuminiy tuzi eritmasining indikatorga ta’sirini kuzating.</x:v>
      </x:c>
      <x:c r="L47" s="24" t="str">
        <x:v>Mavjud amaliy faoliyat tegishli nazariy tushunchalarga many-to-many mapping qilindi.</x:v>
      </x:c>
      <x:c r="M47" s="24" t="str">
        <x:v>KimyoLab_v19.html</x:v>
      </x:c>
    </x:row>
    <x:row r="48">
      <x:c r="A48" s="24" t="n">
        <x:v>44</x:v>
      </x:c>
      <x:c r="B48" s="24" t="str">
        <x:v>9-sinf</x:v>
      </x:c>
      <x:c r="C48" s="24" t="str">
        <x:v>9.15</x:v>
      </x:c>
      <x:c r="D48" s="24" t="str">
        <x:v>Mis(II)-gidroksidni olish va xossalarini tekshirish</x:v>
      </x:c>
      <x:c r="E48" s="24" t="str">
        <x:v>9-sinf darsligi, 200–201-betlar</x:v>
      </x:c>
      <x:c r="F48" s="24" t="str">
        <x:v>12-laboratoriya ishi</x:v>
      </x:c>
      <x:c r="G48" s="24" t="str">
        <x:v>Lab</x:v>
      </x:c>
      <x:c r="H48" s="24" t="str">
        <x:v>9.05; 9.20</x:v>
      </x:c>
      <x:c r="I48" s="24" t="str">
        <x:v>Ion almashinish reaksiyalari; Mis, kumush va oltin</x:v>
      </x:c>
      <x:c r="J48" s="24" t="str">
        <x:v>Bog‘langan</x:v>
      </x:c>
      <x:c r="K48" s="24" t="str">
        <x:v>Cu2+ tuzi eritmasiga ishqor qo‘shib Cu(OH)2 cho‘kmasini oling.</x:v>
      </x:c>
      <x:c r="L48" s="24" t="str">
        <x:v>Mavjud amaliy faoliyat tegishli nazariy tushunchalarga many-to-many mapping qilindi.</x:v>
      </x:c>
      <x:c r="M48" s="24" t="str">
        <x:v>KimyoLab_v19.html</x:v>
      </x:c>
    </x:row>
    <x:row r="49">
      <x:c r="A49" s="24" t="n">
        <x:v>45</x:v>
      </x:c>
      <x:c r="B49" s="24" t="str">
        <x:v>9-sinf</x:v>
      </x:c>
      <x:c r="C49" s="24" t="str">
        <x:v>9.16</x:v>
      </x:c>
      <x:c r="D49" s="24" t="str">
        <x:v>Rux gidroksidni olish va amfoter xossalarini tekshirish</x:v>
      </x:c>
      <x:c r="E49" s="24" t="str">
        <x:v>9-sinf darsligi, 201–202-betlar</x:v>
      </x:c>
      <x:c r="F49" s="24" t="str">
        <x:v>13-laboratoriya ishi</x:v>
      </x:c>
      <x:c r="G49" s="24" t="str">
        <x:v>Lab</x:v>
      </x:c>
      <x:c r="H49" s="24" t="str">
        <x:v>9.05; 9.21</x:v>
      </x:c>
      <x:c r="I49" s="24" t="str">
        <x:v>Ion almashinish reaksiyalari; II guruh yonaki guruhcha elementlari</x:v>
      </x:c>
      <x:c r="J49" s="24" t="str">
        <x:v>Bog‘langan</x:v>
      </x:c>
      <x:c r="K49" s="24" t="str">
        <x:v>Zn2+ tuzi eritmasiga ishqor qo‘shib Zn(OH)2 cho‘kmasini oling.</x:v>
      </x:c>
      <x:c r="L49" s="24" t="str">
        <x:v>Mavjud amaliy faoliyat tegishli nazariy tushunchalarga many-to-many mapping qilindi.</x:v>
      </x:c>
      <x:c r="M49" s="24" t="str">
        <x:v>KimyoLab_v19.html</x:v>
      </x:c>
    </x:row>
    <x:row r="50">
      <x:c r="A50" s="24" t="n">
        <x:v>46</x:v>
      </x:c>
      <x:c r="B50" s="24" t="str">
        <x:v>9-sinf</x:v>
      </x:c>
      <x:c r="C50" s="24" t="str">
        <x:v>9.17</x:v>
      </x:c>
      <x:c r="D50" s="24" t="str">
        <x:v>Xrom(II), xrom(III) va xrom(VI) birikmalari bilan tajribalar</x:v>
      </x:c>
      <x:c r="E50" s="24" t="str">
        <x:v>9-sinf darsligi, 202-bet</x:v>
      </x:c>
      <x:c r="F50" s="24" t="str">
        <x:v>14-laboratoriya ishi</x:v>
      </x:c>
      <x:c r="G50" s="24" t="str">
        <x:v>Lab</x:v>
      </x:c>
      <x:c r="H50" s="24" t="str">
        <x:v>9.22</x:v>
      </x:c>
      <x:c r="I50" s="24" t="str">
        <x:v>Xrom va uning II, III, VI valentli birikmalari</x:v>
      </x:c>
      <x:c r="J50" s="24" t="str">
        <x:v>Bog‘langan</x:v>
      </x:c>
      <x:c r="K50" s="24" t="str">
        <x:v>Darslikda berilgan xrom birikmalari eritmalarining ranglarini kuzating.</x:v>
      </x:c>
      <x:c r="L50" s="24" t="str">
        <x:v>Mavjud amaliy faoliyat tegishli nazariy tushunchalarga many-to-many mapping qilindi.</x:v>
      </x:c>
      <x:c r="M50" s="24" t="str">
        <x:v>KimyoLab_v19.html</x:v>
      </x:c>
    </x:row>
    <x:row r="51">
      <x:c r="A51" s="24" t="n">
        <x:v>47</x:v>
      </x:c>
      <x:c r="B51" s="24" t="str">
        <x:v>9-sinf</x:v>
      </x:c>
      <x:c r="C51" s="24" t="str">
        <x:v>9.18</x:v>
      </x:c>
      <x:c r="D51" s="24" t="str">
        <x:v>Temir(II) va temir(III)-gidroksidlarni olish</x:v>
      </x:c>
      <x:c r="E51" s="24" t="str">
        <x:v>9-sinf darsligi, 203-bet</x:v>
      </x:c>
      <x:c r="F51" s="24" t="str">
        <x:v>15-laboratoriya ishi</x:v>
      </x:c>
      <x:c r="G51" s="24" t="str">
        <x:v>Lab</x:v>
      </x:c>
      <x:c r="H51" s="24" t="str">
        <x:v>9.05; 9.24</x:v>
      </x:c>
      <x:c r="I51" s="24" t="str">
        <x:v>Ion almashinish reaksiyalari; Temir va eng muhim birikmalari</x:v>
      </x:c>
      <x:c r="J51" s="24" t="str">
        <x:v>Bog‘langan</x:v>
      </x:c>
      <x:c r="K51" s="24" t="str">
        <x:v>Fe2+ tuzi eritmasiga ishqor qo‘shib Fe(OH)2 cho‘kmasini oling.</x:v>
      </x:c>
      <x:c r="L51" s="24" t="str">
        <x:v>Mavjud amaliy faoliyat tegishli nazariy tushunchalarga many-to-many mapping qilindi.</x:v>
      </x:c>
      <x:c r="M51" s="24" t="str">
        <x:v>KimyoLab_v19.html</x:v>
      </x:c>
    </x:row>
    <x:row r="52">
      <x:c r="A52" s="24" t="n">
        <x:v>48</x:v>
      </x:c>
      <x:c r="B52" s="24" t="str">
        <x:v>9-sinf</x:v>
      </x:c>
      <x:c r="C52" s="24" t="str">
        <x:v>9.19</x:v>
      </x:c>
      <x:c r="D52" s="24" t="str">
        <x:v>Temir(II) va temir(III) tuzlarini aniqlash</x:v>
      </x:c>
      <x:c r="E52" s="24" t="str">
        <x:v>9-sinf darsligi, 203–204-betlar</x:v>
      </x:c>
      <x:c r="F52" s="24" t="str">
        <x:v>16-laboratoriya ishi</x:v>
      </x:c>
      <x:c r="G52" s="24" t="str">
        <x:v>Lab</x:v>
      </x:c>
      <x:c r="H52" s="24" t="str">
        <x:v>9.24</x:v>
      </x:c>
      <x:c r="I52" s="24" t="str">
        <x:v>Temir va eng muhim birikmalari</x:v>
      </x:c>
      <x:c r="J52" s="24" t="str">
        <x:v>Bog‘langan</x:v>
      </x:c>
      <x:c r="K52" s="24" t="str">
        <x:v>Temir(II) va temir(III) tuzlari eritmalariga darslikda ko‘rsatilgan sifat reaktivlarini qo‘shing.</x:v>
      </x:c>
      <x:c r="L52" s="24" t="str">
        <x:v>Mavjud amaliy faoliyat tegishli nazariy tushunchalarga many-to-many mapping qilindi.</x:v>
      </x:c>
      <x:c r="M52" s="24" t="str">
        <x:v>KimyoLab_v19.html</x:v>
      </x:c>
    </x:row>
    <x:row r="53">
      <x:c r="A53" s="24" t="n">
        <x:v>49</x:v>
      </x:c>
      <x:c r="B53" s="24" t="str">
        <x:v>9-sinf</x:v>
      </x:c>
      <x:c r="C53" s="24" t="str">
        <x:v>9.20</x:v>
      </x:c>
      <x:c r="D53" s="24" t="str">
        <x:v>Cho‘yan va po‘lat namunalari bilan tanishish</x:v>
      </x:c>
      <x:c r="E53" s="24" t="str">
        <x:v>9-sinf darsligi, 204-bet</x:v>
      </x:c>
      <x:c r="F53" s="24" t="str">
        <x:v>17-laboratoriya ishi</x:v>
      </x:c>
      <x:c r="G53" s="24" t="str">
        <x:v>Lab</x:v>
      </x:c>
      <x:c r="H53" s="24" t="str">
        <x:v>9.12; 9.25</x:v>
      </x:c>
      <x:c r="I53" s="24" t="str">
        <x:v>Qotishmalar; Cho‘yan va po‘lat ishlab chiqarish</x:v>
      </x:c>
      <x:c r="J53" s="24" t="str">
        <x:v>Bog‘langan</x:v>
      </x:c>
      <x:c r="K53" s="24" t="str">
        <x:v>Cho‘yan va po‘lat namunalarini tashqi ko‘rinish bo‘yicha ko‘zdan kechiring.</x:v>
      </x:c>
      <x:c r="L53" s="24" t="str">
        <x:v>Mavjud amaliy faoliyat tegishli nazariy tushunchalarga many-to-many mapping qilindi.</x:v>
      </x:c>
      <x:c r="M53" s="24" t="str">
        <x:v>KimyoLab_v19.html</x:v>
      </x:c>
    </x:row>
    <x:row r="54">
      <x:c r="A54" s="24" t="n">
        <x:v>50</x:v>
      </x:c>
      <x:c r="B54" s="24" t="str">
        <x:v>10-sinf</x:v>
      </x:c>
      <x:c r="C54" s="24" t="str">
        <x:v>10.1</x:v>
      </x:c>
      <x:c r="D54" s="24" t="str">
        <x:v>Organik birikmalar namunalari bilan tanishish va qiyoslash</x:v>
      </x:c>
      <x:c r="E54" s="24" t="str">
        <x:v>10-sinf darsligi, 35–36-betlar</x:v>
      </x:c>
      <x:c r="F54" s="24" t="str">
        <x:v>1.9-amaliy mashg‘ulot</x:v>
      </x:c>
      <x:c r="G54" s="24" t="str">
        <x:v>Lab</x:v>
      </x:c>
      <x:c r="H54" s="24" t="str">
        <x:v>10.01; 10.05</x:v>
      </x:c>
      <x:c r="I54" s="24" t="str">
        <x:v>Organik kimyo tarixi va organik birikmalarning o‘ziga xos xususiyatlari; Organik birikmalarning sinflanishi</x:v>
      </x:c>
      <x:c r="J54" s="24" t="str">
        <x:v>Bog‘langan</x:v>
      </x:c>
      <x:c r="K54" s="24" t="str">
        <x:v>Organik moddalar namunalarining tashqi ko‘rinishi, suvda eruvchanligi va zichligini taqqoslang.</x:v>
      </x:c>
      <x:c r="L54" s="24" t="str">
        <x:v>Mavjud amaliy faoliyat tegishli nazariy tushunchalarga many-to-many mapping qilindi.</x:v>
      </x:c>
      <x:c r="M54" s="24" t="str">
        <x:v>KimyoLab_v19.html</x:v>
      </x:c>
    </x:row>
    <x:row r="55">
      <x:c r="A55" s="24" t="n">
        <x:v>51</x:v>
      </x:c>
      <x:c r="B55" s="24" t="str">
        <x:v>10-sinf</x:v>
      </x:c>
      <x:c r="C55" s="24" t="str">
        <x:v>10.2</x:v>
      </x:c>
      <x:c r="D55" s="24" t="str">
        <x:v>Organik birikmalar tarkibini tahlil qilish</x:v>
      </x:c>
      <x:c r="E55" s="24" t="str">
        <x:v>10-sinf darsligi, 37–38-betlar</x:v>
      </x:c>
      <x:c r="F55" s="24" t="str">
        <x:v>1.10-amaliy mashg‘ulot</x:v>
      </x:c>
      <x:c r="G55" s="24" t="str">
        <x:v>Lab</x:v>
      </x:c>
      <x:c r="H55" s="24" t="str">
        <x:v>10.01; 10.02</x:v>
      </x:c>
      <x:c r="I55" s="24" t="str">
        <x:v>Organik kimyo tarixi va organik birikmalarning o‘ziga xos xususiyatlari; Organik birikmalar tuzilish nazariyasi</x:v>
      </x:c>
      <x:c r="J55" s="24" t="str">
        <x:v>Bog‘langan</x:v>
      </x:c>
      <x:c r="K55" s="24" t="str">
        <x:v>Tekshiriluvchi organik modda va CuO aralashmasini qizdiring.</x:v>
      </x:c>
      <x:c r="L55" s="24" t="str">
        <x:v>Mavjud amaliy faoliyat tegishli nazariy tushunchalarga many-to-many mapping qilindi.</x:v>
      </x:c>
      <x:c r="M55" s="24" t="str">
        <x:v>KimyoLab_v19.html</x:v>
      </x:c>
    </x:row>
    <x:row r="56">
      <x:c r="A56" s="24" t="n">
        <x:v>52</x:v>
      </x:c>
      <x:c r="B56" s="24" t="str">
        <x:v>10-sinf</x:v>
      </x:c>
      <x:c r="C56" s="24" t="str">
        <x:v>10.3</x:v>
      </x:c>
      <x:c r="D56" s="24" t="str">
        <x:v>Etilenning olinishi va xossalarini o‘rganish</x:v>
      </x:c>
      <x:c r="E56" s="24" t="str">
        <x:v>10-sinf darsligi, 62-bet</x:v>
      </x:c>
      <x:c r="F56" s="24" t="str">
        <x:v>2.9-amaliy mashg‘ulot</x:v>
      </x:c>
      <x:c r="G56" s="24" t="str">
        <x:v>Lab</x:v>
      </x:c>
      <x:c r="H56" s="24" t="str">
        <x:v>10.06; 10.12</x:v>
      </x:c>
      <x:c r="I56" s="24" t="str">
        <x:v>Organik reaksiyalar turlari; Alkenlar</x:v>
      </x:c>
      <x:c r="J56" s="24" t="str">
        <x:v>Bog‘langan</x:v>
      </x:c>
      <x:c r="K56" s="24" t="str">
        <x:v>Probirkaga 2–3 ml etanol va 6–9 ml konsentrlangan H2SO4 qo‘shing, bir oz qum soling va ehtiyotkor qizdiring. Etilen gazini oling.</x:v>
      </x:c>
      <x:c r="L56" s="24" t="str">
        <x:v>Mavjud amaliy faoliyat tegishli nazariy tushunchalarga many-to-many mapping qilindi.</x:v>
      </x:c>
      <x:c r="M56" s="24" t="str">
        <x:v>KimyoLab_v19.html</x:v>
      </x:c>
    </x:row>
    <x:row r="57">
      <x:c r="A57" s="24" t="n">
        <x:v>53</x:v>
      </x:c>
      <x:c r="B57" s="24" t="str">
        <x:v>10-sinf</x:v>
      </x:c>
      <x:c r="C57" s="24" t="str">
        <x:v>10.4</x:v>
      </x:c>
      <x:c r="D57" s="24" t="str">
        <x:v>Uglevodorodlarning shar-sterjenli va masshtabli modellarini yasash</x:v>
      </x:c>
      <x:c r="E57" s="24" t="str">
        <x:v>10-sinf darsligi, 95–96-betlar</x:v>
      </x:c>
      <x:c r="F57" s="24" t="str">
        <x:v>2.21-amaliy mashg‘ulot</x:v>
      </x:c>
      <x:c r="G57" s="24" t="str">
        <x:v>Simulyatsiya</x:v>
      </x:c>
      <x:c r="H57" s="24" t="str">
        <x:v>10.02; 10.03; 10.04; 10.08; 10.09</x:v>
      </x:c>
      <x:c r="I57" s="24" t="str">
        <x:v>Organik birikmalar tuzilish nazariyasi; Uglerodning valentligi va oksidlanish darajasi; Izomeriya va uning turlari; Alkanlar va gomologik qator; Alkanlar izomeriyasi va nomlanishi</x:v>
      </x:c>
      <x:c r="J57" s="24" t="str">
        <x:v>Bog‘langan</x:v>
      </x:c>
      <x:c r="K57" s="24" t="str">
        <x:v>Variant bo‘yicha uglevodorod molekulasini tanlang.</x:v>
      </x:c>
      <x:c r="L57" s="24" t="str">
        <x:v>Mavjud amaliy faoliyat tegishli nazariy tushunchalarga many-to-many mapping qilindi.</x:v>
      </x:c>
      <x:c r="M57" s="24" t="str">
        <x:v>KimyoLab_v19.html</x:v>
      </x:c>
    </x:row>
    <x:row r="58">
      <x:c r="A58" s="24" t="n">
        <x:v>54</x:v>
      </x:c>
      <x:c r="B58" s="24" t="str">
        <x:v>10-sinf</x:v>
      </x:c>
      <x:c r="C58" s="24" t="str">
        <x:v>10.5</x:v>
      </x:c>
      <x:c r="D58" s="24" t="str">
        <x:v>Ko‘p atomli spirtlarga oid tajribalar</x:v>
      </x:c>
      <x:c r="E58" s="24" t="str">
        <x:v>10-sinf darsligi, 122–123-betlar</x:v>
      </x:c>
      <x:c r="F58" s="24" t="str">
        <x:v>3.5-amaliy mashg‘ulot</x:v>
      </x:c>
      <x:c r="G58" s="24" t="str">
        <x:v>Lab</x:v>
      </x:c>
      <x:c r="H58" s="24" t="str">
        <x:v>10.06; 10.18</x:v>
      </x:c>
      <x:c r="I58" s="24" t="str">
        <x:v>Organik reaksiyalar turlari; Ko‘p atomli spirtlar: etilenglikol va glitserin</x:v>
      </x:c>
      <x:c r="J58" s="24" t="str">
        <x:v>Bog‘langan</x:v>
      </x:c>
      <x:c r="K58" s="24" t="str">
        <x:v>CuSO4 eritmasi va ishqor yordamida yangi Cu(OH)2 cho‘kmasini tayyorlang.</x:v>
      </x:c>
      <x:c r="L58" s="24" t="str">
        <x:v>Mavjud amaliy faoliyat tegishli nazariy tushunchalarga many-to-many mapping qilindi.</x:v>
      </x:c>
      <x:c r="M58" s="24" t="str">
        <x:v>KimyoLab_v19.html</x:v>
      </x:c>
    </x:row>
    <x:row r="59">
      <x:c r="A59" s="24" t="n">
        <x:v>55</x:v>
      </x:c>
      <x:c r="B59" s="24" t="str">
        <x:v>10-sinf</x:v>
      </x:c>
      <x:c r="C59" s="24" t="str">
        <x:v>10.6</x:v>
      </x:c>
      <x:c r="D59" s="24" t="str">
        <x:v>Spirtlar va aldegidlarga xos reaksiyalar</x:v>
      </x:c>
      <x:c r="E59" s="24" t="str">
        <x:v>10-sinf darsligi, 136-bet</x:v>
      </x:c>
      <x:c r="F59" s="24" t="str">
        <x:v>3.10-amaliy mashg‘ulot</x:v>
      </x:c>
      <x:c r="G59" s="24" t="str">
        <x:v>Lab</x:v>
      </x:c>
      <x:c r="H59" s="24" t="str">
        <x:v>10.06; 10.17; 10.21</x:v>
      </x:c>
      <x:c r="I59" s="24" t="str">
        <x:v>Organik reaksiyalar turlari; Bir atomli spirtlar; Aldegidlar va ketonlar</x:v>
      </x:c>
      <x:c r="J59" s="24" t="str">
        <x:v>Bog‘langan</x:v>
      </x:c>
      <x:c r="K59" s="24" t="str">
        <x:v>Cu(OH)2 cho‘kmasiga glitserin qo‘shing va to‘q ko‘k eritma hosil bo‘lishini kuzating.</x:v>
      </x:c>
      <x:c r="L59" s="24" t="str">
        <x:v>Mavjud amaliy faoliyat tegishli nazariy tushunchalarga many-to-many mapping qilindi.</x:v>
      </x:c>
      <x:c r="M59" s="24" t="str">
        <x:v>KimyoLab_v19.html</x:v>
      </x:c>
    </x:row>
    <x:row r="60">
      <x:c r="A60" s="24" t="n">
        <x:v>56</x:v>
      </x:c>
      <x:c r="B60" s="24" t="str">
        <x:v>10-sinf</x:v>
      </x:c>
      <x:c r="C60" s="24" t="str">
        <x:v>10.7</x:v>
      </x:c>
      <x:c r="D60" s="24" t="str">
        <x:v>O‘simliklar tarkibidagi murakkab efirlar</x:v>
      </x:c>
      <x:c r="E60" s="24" t="str">
        <x:v>10-sinf darsligi, 150–151-betlar</x:v>
      </x:c>
      <x:c r="F60" s="24" t="str">
        <x:v>3.15-amaliy mashg‘ulot</x:v>
      </x:c>
      <x:c r="G60" s="24" t="str">
        <x:v>Lab</x:v>
      </x:c>
      <x:c r="H60" s="24" t="str">
        <x:v>10.06; 10.23</x:v>
      </x:c>
      <x:c r="I60" s="24" t="str">
        <x:v>Organik reaksiyalar turlari; Murakkab efirlar</x:v>
      </x:c>
      <x:c r="J60" s="24" t="str">
        <x:v>Bog‘langan</x:v>
      </x:c>
      <x:c r="K60" s="24" t="str">
        <x:v>Hidli o‘simlik qismlarini suv bilan haydash moslamasiga joylashtiring.</x:v>
      </x:c>
      <x:c r="L60" s="24" t="str">
        <x:v>Mavjud amaliy faoliyat tegishli nazariy tushunchalarga many-to-many mapping qilindi.</x:v>
      </x:c>
      <x:c r="M60" s="24" t="str">
        <x:v>KimyoLab_v19.html</x:v>
      </x:c>
    </x:row>
    <x:row r="61">
      <x:c r="A61" s="24" t="n">
        <x:v>57</x:v>
      </x:c>
      <x:c r="B61" s="24" t="str">
        <x:v>10-sinf</x:v>
      </x:c>
      <x:c r="C61" s="24" t="str">
        <x:v>10.8</x:v>
      </x:c>
      <x:c r="D61" s="24" t="str">
        <x:v>Yog‘lardan sovun olish</x:v>
      </x:c>
      <x:c r="E61" s="24" t="str">
        <x:v>10-sinf darsligi, 155-bet</x:v>
      </x:c>
      <x:c r="F61" s="24" t="str">
        <x:v>3.17-amaliy mashg‘ulot</x:v>
      </x:c>
      <x:c r="G61" s="24" t="str">
        <x:v>Lab</x:v>
      </x:c>
      <x:c r="H61" s="24" t="str">
        <x:v>10.06; 10.24</x:v>
      </x:c>
      <x:c r="I61" s="24" t="str">
        <x:v>Organik reaksiyalar turlari; Yog‘lar</x:v>
      </x:c>
      <x:c r="J61" s="24" t="str">
        <x:v>Bog‘langan</x:v>
      </x:c>
      <x:c r="K61" s="24" t="str">
        <x:v>Yog‘ namunasi va ishqorni darslikdagi nisbatda aralashtiring.</x:v>
      </x:c>
      <x:c r="L61" s="24" t="str">
        <x:v>Mavjud amaliy faoliyat tegishli nazariy tushunchalarga many-to-many mapping qilindi.</x:v>
      </x:c>
      <x:c r="M61" s="24" t="str">
        <x:v>KimyoLab_v19.html</x:v>
      </x:c>
    </x:row>
    <x:row r="62">
      <x:c r="A62" s="24" t="n">
        <x:v>58</x:v>
      </x:c>
      <x:c r="B62" s="24" t="str">
        <x:v>10-sinf</x:v>
      </x:c>
      <x:c r="C62" s="24" t="str">
        <x:v>10.9</x:v>
      </x:c>
      <x:c r="D62" s="24" t="str">
        <x:v>Uglevodlarga oid tajribalar</x:v>
      </x:c>
      <x:c r="E62" s="24" t="str">
        <x:v>10-sinf darsligi, 167–168-betlar</x:v>
      </x:c>
      <x:c r="F62" s="24" t="str">
        <x:v>3.21-amaliy mashg‘ulot</x:v>
      </x:c>
      <x:c r="G62" s="24" t="str">
        <x:v>Lab</x:v>
      </x:c>
      <x:c r="H62" s="24" t="str">
        <x:v>10.06; 10.25</x:v>
      </x:c>
      <x:c r="I62" s="24" t="str">
        <x:v>Organik reaksiyalar turlari; Uglevodlar: mono-, di- va polisaxaridlar</x:v>
      </x:c>
      <x:c r="J62" s="24" t="str">
        <x:v>Bog‘langan</x:v>
      </x:c>
      <x:c r="K62" s="24" t="str">
        <x:v>Uzum sharbati yoki glyukozaga CuSO4 va NaOH qo‘shib, so‘ng qizdiring. Rang va cho‘kma o‘zgarishini kuzating.</x:v>
      </x:c>
      <x:c r="L62" s="24" t="str">
        <x:v>Mavjud amaliy faoliyat tegishli nazariy tushunchalarga many-to-many mapping qilindi.</x:v>
      </x:c>
      <x:c r="M62" s="24" t="str">
        <x:v>KimyoLab_v19.html</x:v>
      </x:c>
    </x:row>
    <x:row r="63">
      <x:c r="A63" s="24" t="n">
        <x:v>59</x:v>
      </x:c>
      <x:c r="B63" s="24" t="str">
        <x:v>10-sinf</x:v>
      </x:c>
      <x:c r="C63" s="24" t="str">
        <x:v>10.10</x:v>
      </x:c>
      <x:c r="D63" s="24" t="str">
        <x:v>Organik birikmalarni xos reaksiyalar asosida aniqlash</x:v>
      </x:c>
      <x:c r="E63" s="24" t="str">
        <x:v>10-sinf darsligi, 173–174-betlar</x:v>
      </x:c>
      <x:c r="F63" s="24" t="str">
        <x:v>3.23-amaliy mashg‘ulot</x:v>
      </x:c>
      <x:c r="G63" s="24" t="str">
        <x:v>Lab</x:v>
      </x:c>
      <x:c r="H63" s="24" t="str">
        <x:v>10.05; 10.06; 10.10; 10.19; 10.21; 10.22</x:v>
      </x:c>
      <x:c r="I63" s="24" t="str">
        <x:v>Organik birikmalarning sinflanishi; Organik reaksiyalar turlari; Alkanlarning olinishi, xossalari va ishlatilishi; Fenollar va aromatik spirtlar; Aldegidlar va ketonlar; Karbon kislotalar</x:v>
      </x:c>
      <x:c r="J63" s="24" t="str">
        <x:v>Bog‘langan</x:v>
      </x:c>
      <x:c r="K63" s="24" t="str">
        <x:v>Uch noma’lum namuna: sirka kislotasi, glitserin va glyukozani oling.</x:v>
      </x:c>
      <x:c r="L63" s="24" t="str">
        <x:v>Mavjud amaliy faoliyat tegishli nazariy tushunchalarga many-to-many mapping qilindi.</x:v>
      </x:c>
      <x:c r="M63" s="24" t="str">
        <x:v>KimyoLab_v19.html</x:v>
      </x:c>
    </x:row>
    <x:row r="64">
      <x:c r="A64" s="24" t="n">
        <x:v>60</x:v>
      </x:c>
      <x:c r="B64" s="24" t="str">
        <x:v>10-sinf</x:v>
      </x:c>
      <x:c r="C64" s="24" t="str">
        <x:v>10.11</x:v>
      </x:c>
      <x:c r="D64" s="24" t="str">
        <x:v>Qog‘ozni qayta ishlash</x:v>
      </x:c>
      <x:c r="E64" s="24" t="str">
        <x:v>10-sinf darsligi, 189–190-betlar</x:v>
      </x:c>
      <x:c r="F64" s="24" t="str">
        <x:v>4.3-amaliy mashg‘ulot</x:v>
      </x:c>
      <x:c r="G64" s="24" t="str">
        <x:v>Case</x:v>
      </x:c>
      <x:c r="H64" s="24" t="str">
        <x:v>10.26; 10.27</x:v>
      </x:c>
      <x:c r="I64" s="24" t="str">
        <x:v>Tabiiy va sun’iy tolalar; Organik sanoat, chiqindilar va qayta ishlash</x:v>
      </x:c>
      <x:c r="J64" s="24" t="str">
        <x:v>Bog‘langan</x:v>
      </x:c>
      <x:c r="K64" s="24" t="str">
        <x:v>Qog‘ozni mayda bo‘laklarga bo‘ling, stakanga joylashtiring, ustidan issiq suv quying va 2–3 soatga qoldiring.</x:v>
      </x:c>
      <x:c r="L64" s="24" t="str">
        <x:v>Mavjud amaliy faoliyat tegishli nazariy tushunchalarga many-to-many mapping qilindi.</x:v>
      </x:c>
      <x:c r="M64" s="24" t="str">
        <x:v>KimyoLab_v19.html</x:v>
      </x:c>
    </x:row>
    <x:row r="65">
      <x:c r="A65" s="24" t="n">
        <x:v>61</x:v>
      </x:c>
      <x:c r="B65" s="24" t="str">
        <x:v>11-sinf</x:v>
      </x:c>
      <x:c r="C65" s="24" t="str">
        <x:v>11.1</x:v>
      </x:c>
      <x:c r="D65" s="24" t="str">
        <x:v>Alohida laboratoriya va amaliy mashg‘ulotlar bo‘yicha xulosa</x:v>
      </x:c>
      <x:c r="E65" s="24" t="str"/>
      <x:c r="F65" s="24" t="str"/>
      <x:c r="G65" s="24" t="str">
        <x:v>Case</x:v>
      </x:c>
      <x:c r="H65" s="24" t="str">
        <x:v>11.01; 11.02; 11.03; 11.04; 11.05; 11.06; 11.07; 11.08; 11.09; 11.10; 11.11; 11.12; 11.13; 11.14; 11.15; 11.16; 11.17; 11.18; 11.19; 11.20; 11.21; 11.22</x:v>
      </x:c>
      <x:c r="I65" s="24" t="str">
        <x:v>Atom tuzilishi; Davriy qonun va D.I. Mendeleyev davriy sistemasi; Atom tarkibi va yadro reaksiyalari; Kimyoviy bog‘lanish turlari va kristall panjaralar; Modda miqdori; Avogadro qonuni va gazlar aralashmasi; Ekvivalent; Mendeleyev-Klapeyron tenglamasi; Kuchli va kuchsiz elektrolitlar; Dissotsiatsiyalanish darajasi va ionli tenglamalar; Tuzlar gidrolizi va eritma muhiti; Eritma va eruvchanlik; Foiz konsentratsiya; Molyar va normal konsentratsiya hamda bog‘lanishlar; Reaksiya tezligi; Bosim, hajm, harorat va katalizatorning reaksiya tezligiga ta’siri; Qaytar va qaytmas reaksiyalar. Kimyoviy muvozanat; Kimyoviy muvozanatga ta’sir etuvchi omillar; Oksidlanish-qaytarilish reaksiyalarini yarim reaksiya usuli bilan tenglashtirish; Redoks reaksiyalarining eritma muhitiga bog‘liqligi; Elektroliz: eritma va suyuqlanma; Elektroliz qonunlari</x:v>
      </x:c>
      <x:c r="J65" s="24" t="str">
        <x:v>Reklassifikatsiya kerak</x:v>
      </x:c>
      <x:c r="K65" s="24" t="str">
        <x:v>Alohida laboratoriya va amaliy mashg‘ulotlar bo‘yicha xulosa</x:v>
      </x:c>
      <x:c r="L65" s="24" t="str">
        <x:v>Bu band real amaliy faoliyat emas, 11-sinf bo‘yicha umumlashtiruvchi xulosa/placeholder. Uni 62 ta amaliy mashg‘ulot qatoridan chiqarish yoki yakuniy refleksiya/assessment sifatida qayta belgilash tavsiya etiladi.</x:v>
      </x:c>
      <x:c r="M65" s="24" t="str">
        <x:v>KimyoLab_v19.html</x:v>
      </x:c>
    </x:row>
    <x:row r="66">
      <x:c r="A66" s="24" t="n">
        <x:v>62</x:v>
      </x:c>
      <x:c r="B66" s="24" t="str">
        <x:v>11-sinf</x:v>
      </x:c>
      <x:c r="C66" s="24" t="str">
        <x:v>11.2</x:v>
      </x:c>
      <x:c r="D66" s="24" t="str">
        <x:v>Platforma uchun demonstratsion tajriba nomzodi: elektroliz</x:v>
      </x:c>
      <x:c r="E66" s="24" t="str">
        <x:v>11-sinf darsligi, 138–139-betlar</x:v>
      </x:c>
      <x:c r="F66" s="24" t="str">
        <x:v>Demonstratsion tajriba nomzodi — alohida laboratoriya ishi sifatida belgilanmagan</x:v>
      </x:c>
      <x:c r="G66" s="24" t="str">
        <x:v>Lab</x:v>
      </x:c>
      <x:c r="H66" s="24" t="str">
        <x:v>11.21; 11.22</x:v>
      </x:c>
      <x:c r="I66" s="24" t="str">
        <x:v>Elektroliz: eritma va suyuqlanma; Elektroliz qonunlari</x:v>
      </x:c>
      <x:c r="J66" s="24" t="str">
        <x:v>Bog‘langan</x:v>
      </x:c>
      <x:c r="K66" s="24" t="str">
        <x:v>Elektrolizyorga CuCl2 eritmasini quying.</x:v>
      </x:c>
      <x:c r="L66" s="24" t="str">
        <x:v>Mavjud amaliy faoliyat tegishli nazariy tushunchalarga many-to-many mapping qilindi.</x:v>
      </x:c>
      <x:c r="M66" s="24" t="str">
        <x:v>KimyoLab_v19.html</x:v>
      </x:c>
    </x:row>
  </x:sheetData>
  <x:mergeCells>
    <x:mergeCell ref="A1:M1"/>
    <x:mergeCell ref="A2:M2"/>
  </x:mergeCells>
  <x:conditionalFormatting sqref="J5:J66">
    <x:cfRule type="expression" dxfId="8" priority="1">
      <x:formula>J5="Bog‘langan"</x:formula>
    </x:cfRule>
    <x:cfRule type="expression" dxfId="9" priority="2">
      <x:formula>J5="Reklassifikatsiya kerak"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1db103e69742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36" hidden="0" customWidth="1"/>
  </x:cols>
  <x:sheetData>
    <x:row r="1">
      <x:c r="A1" s="4" t="str">
        <x:v>Qamrov xulosasi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Sinf</x:v>
      </x:c>
      <x:c r="B3" s="18" t="str">
        <x:v>Nazariya soni</x:v>
      </x:c>
      <x:c r="C3" s="18" t="str">
        <x:v>Mavjud</x:v>
      </x:c>
      <x:c r="D3" s="18" t="str">
        <x:v>Qisman mavjud</x:v>
      </x:c>
      <x:c r="E3" s="18" t="str">
        <x:v>Yangi kerak</x:v>
      </x:c>
      <x:c r="F3" s="18" t="str">
        <x:v>Mavjud amaliy bandlar</x:v>
      </x:c>
      <x:c r="G3" s="18" t="str">
        <x:v>Nazariya qamrovi (%)</x:v>
      </x:c>
      <x:c r="H3" s="18" t="str">
        <x:v>Izoh</x:v>
      </x:c>
    </x:row>
    <x:row r="4">
      <x:c r="A4" s="24" t="str">
        <x:v>7-sinf</x:v>
      </x:c>
      <x:c r="B4" s="24" t="n">
        <x:f>COUNTIF('Nazariya-Amaliyot'!$B$5:$B$126,A4)</x:f>
        <x:v>23</x:v>
      </x:c>
      <x:c r="C4" s="24" t="n">
        <x:f>COUNTIFS('Nazariya-Amaliyot'!$B$5:$B$126,A4,'Nazariya-Amaliyot'!$M$5:$M$126,"Mavjud")</x:f>
        <x:v>8</x:v>
      </x:c>
      <x:c r="D4" s="24" t="n">
        <x:f>COUNTIFS('Nazariya-Amaliyot'!$B$5:$B$126,A4,'Nazariya-Amaliyot'!$M$5:$M$126,"Qisman mavjud")</x:f>
        <x:v>8</x:v>
      </x:c>
      <x:c r="E4" s="24" t="n">
        <x:f>COUNTIFS('Nazariya-Amaliyot'!$B$5:$B$126,A4,'Nazariya-Amaliyot'!$M$5:$M$126,"Yangi kerak")</x:f>
        <x:v>7</x:v>
      </x:c>
      <x:c r="F4" s="24" t="n">
        <x:f>COUNTIF('Amaliyot-Nazariya'!$B$5:$B$66,A4)</x:f>
        <x:v>14</x:v>
      </x:c>
      <x:c r="G4" s="28" t="n">
        <x:f>IF(B4=0,0,(C4+D4)/B4)</x:f>
        <x:v>0.6956521739130435</x:v>
      </x:c>
      <x:c r="H4" s="24" t="str">
        <x:f>IF(E4=0,"Amaliy qamrov mavjud","Yangi faoliyatlar ishlab chiqish kerak")</x:f>
        <x:v>Yangi faoliyatlar ishlab chiqish kerak</x:v>
      </x:c>
    </x:row>
    <x:row r="5">
      <x:c r="A5" s="24" t="str">
        <x:v>8-sinf</x:v>
      </x:c>
      <x:c r="B5" s="24" t="n">
        <x:f>COUNTIF('Nazariya-Amaliyot'!$B$5:$B$126,A5)</x:f>
        <x:v>24</x:v>
      </x:c>
      <x:c r="C5" s="24" t="n">
        <x:f>COUNTIFS('Nazariya-Amaliyot'!$B$5:$B$126,A5,'Nazariya-Amaliyot'!$M$5:$M$126,"Mavjud")</x:f>
        <x:v>5</x:v>
      </x:c>
      <x:c r="D5" s="24" t="n">
        <x:f>COUNTIFS('Nazariya-Amaliyot'!$B$5:$B$126,A5,'Nazariya-Amaliyot'!$M$5:$M$126,"Qisman mavjud")</x:f>
        <x:v>7</x:v>
      </x:c>
      <x:c r="E5" s="24" t="n">
        <x:f>COUNTIFS('Nazariya-Amaliyot'!$B$5:$B$126,A5,'Nazariya-Amaliyot'!$M$5:$M$126,"Yangi kerak")</x:f>
        <x:v>12</x:v>
      </x:c>
      <x:c r="F5" s="24" t="n">
        <x:f>COUNTIF('Amaliyot-Nazariya'!$B$5:$B$66,A5)</x:f>
        <x:v>15</x:v>
      </x:c>
      <x:c r="G5" s="28" t="n">
        <x:f>IF(B5=0,0,(C5+D5)/B5)</x:f>
        <x:v>0.5</x:v>
      </x:c>
      <x:c r="H5" s="24" t="str">
        <x:f>IF(E5=0,"Amaliy qamrov mavjud","Yangi faoliyatlar ishlab chiqish kerak")</x:f>
        <x:v>Yangi faoliyatlar ishlab chiqish kerak</x:v>
      </x:c>
    </x:row>
    <x:row r="6">
      <x:c r="A6" s="24" t="str">
        <x:v>9-sinf</x:v>
      </x:c>
      <x:c r="B6" s="24" t="n">
        <x:f>COUNTIF('Nazariya-Amaliyot'!$B$5:$B$126,A6)</x:f>
        <x:v>26</x:v>
      </x:c>
      <x:c r="C6" s="24" t="n">
        <x:f>COUNTIFS('Nazariya-Amaliyot'!$B$5:$B$126,A6,'Nazariya-Amaliyot'!$M$5:$M$126,"Mavjud")</x:f>
        <x:v>11</x:v>
      </x:c>
      <x:c r="D6" s="24" t="n">
        <x:f>COUNTIFS('Nazariya-Amaliyot'!$B$5:$B$126,A6,'Nazariya-Amaliyot'!$M$5:$M$126,"Qisman mavjud")</x:f>
        <x:v>7</x:v>
      </x:c>
      <x:c r="E6" s="24" t="n">
        <x:f>COUNTIFS('Nazariya-Amaliyot'!$B$5:$B$126,A6,'Nazariya-Amaliyot'!$M$5:$M$126,"Yangi kerak")</x:f>
        <x:v>8</x:v>
      </x:c>
      <x:c r="F6" s="24" t="n">
        <x:f>COUNTIF('Amaliyot-Nazariya'!$B$5:$B$66,A6)</x:f>
        <x:v>20</x:v>
      </x:c>
      <x:c r="G6" s="28" t="n">
        <x:f>IF(B6=0,0,(C6+D6)/B6)</x:f>
        <x:v>0.6923076923076923</x:v>
      </x:c>
      <x:c r="H6" s="24" t="str">
        <x:f>IF(E6=0,"Amaliy qamrov mavjud","Yangi faoliyatlar ishlab chiqish kerak")</x:f>
        <x:v>Yangi faoliyatlar ishlab chiqish kerak</x:v>
      </x:c>
    </x:row>
    <x:row r="7">
      <x:c r="A7" s="24" t="str">
        <x:v>10-sinf</x:v>
      </x:c>
      <x:c r="B7" s="24" t="n">
        <x:f>COUNTIF('Nazariya-Amaliyot'!$B$5:$B$126,A7)</x:f>
        <x:v>27</x:v>
      </x:c>
      <x:c r="C7" s="24" t="n">
        <x:f>COUNTIFS('Nazariya-Amaliyot'!$B$5:$B$126,A7,'Nazariya-Amaliyot'!$M$5:$M$126,"Mavjud")</x:f>
        <x:v>11</x:v>
      </x:c>
      <x:c r="D7" s="24" t="n">
        <x:f>COUNTIFS('Nazariya-Amaliyot'!$B$5:$B$126,A7,'Nazariya-Amaliyot'!$M$5:$M$126,"Qisman mavjud")</x:f>
        <x:v>9</x:v>
      </x:c>
      <x:c r="E7" s="24" t="n">
        <x:f>COUNTIFS('Nazariya-Amaliyot'!$B$5:$B$126,A7,'Nazariya-Amaliyot'!$M$5:$M$126,"Yangi kerak")</x:f>
        <x:v>7</x:v>
      </x:c>
      <x:c r="F7" s="24" t="n">
        <x:f>COUNTIF('Amaliyot-Nazariya'!$B$5:$B$66,A7)</x:f>
        <x:v>11</x:v>
      </x:c>
      <x:c r="G7" s="28" t="n">
        <x:f>IF(B7=0,0,(C7+D7)/B7)</x:f>
        <x:v>0.7407407407407407</x:v>
      </x:c>
      <x:c r="H7" s="24" t="str">
        <x:f>IF(E7=0,"Amaliy qamrov mavjud","Yangi faoliyatlar ishlab chiqish kerak")</x:f>
        <x:v>Yangi faoliyatlar ishlab chiqish kerak</x:v>
      </x:c>
    </x:row>
    <x:row r="8">
      <x:c r="A8" s="24" t="str">
        <x:v>11-sinf</x:v>
      </x:c>
      <x:c r="B8" s="24" t="n">
        <x:f>COUNTIF('Nazariya-Amaliyot'!$B$5:$B$126,A8)</x:f>
        <x:v>22</x:v>
      </x:c>
      <x:c r="C8" s="24" t="n">
        <x:f>COUNTIFS('Nazariya-Amaliyot'!$B$5:$B$126,A8,'Nazariya-Amaliyot'!$M$5:$M$126,"Mavjud")</x:f>
        <x:v>1</x:v>
      </x:c>
      <x:c r="D8" s="24" t="n">
        <x:f>COUNTIFS('Nazariya-Amaliyot'!$B$5:$B$126,A8,'Nazariya-Amaliyot'!$M$5:$M$126,"Qisman mavjud")</x:f>
        <x:v>1</x:v>
      </x:c>
      <x:c r="E8" s="24" t="n">
        <x:f>COUNTIFS('Nazariya-Amaliyot'!$B$5:$B$126,A8,'Nazariya-Amaliyot'!$M$5:$M$126,"Yangi kerak")</x:f>
        <x:v>20</x:v>
      </x:c>
      <x:c r="F8" s="24" t="n">
        <x:f>COUNTIF('Amaliyot-Nazariya'!$B$5:$B$66,A8)</x:f>
        <x:v>2</x:v>
      </x:c>
      <x:c r="G8" s="28" t="n">
        <x:f>IF(B8=0,0,(C8+D8)/B8)</x:f>
        <x:v>0.09090909090909091</x:v>
      </x:c>
      <x:c r="H8" s="24" t="str">
        <x:f>IF(E8=0,"Amaliy qamrov mavjud","Yangi faoliyatlar ishlab chiqish kerak")</x:f>
        <x:v>Yangi faoliyatlar ishlab chiqish kerak</x:v>
      </x:c>
    </x:row>
    <x:row r="11">
      <x:c r="A11" s="34" t="str">
        <x:v>Asosiy amaliy turi</x:v>
      </x:c>
      <x:c r="B11" s="34" t="str">
        <x:v>Nazariya soni</x:v>
      </x:c>
      <x:c r="C11" s="34" t="str">
        <x:v>Ulushi</x:v>
      </x:c>
      <x:c r="E11" s="34" t="str">
        <x:v>Qamrov holati</x:v>
      </x:c>
      <x:c r="F11" s="34" t="str">
        <x:v>Nazariya soni</x:v>
      </x:c>
      <x:c r="G11" s="34" t="str">
        <x:v>Ulushi</x:v>
      </x:c>
    </x:row>
    <x:row r="12">
      <x:c r="A12" t="str">
        <x:v>Lab</x:v>
      </x:c>
      <x:c r="B12" t="n">
        <x:f>COUNTIF('Nazariya-Amaliyot'!$I$5:$I$126,A12)</x:f>
        <x:v>39</x:v>
      </x:c>
      <x:c r="C12" s="26" t="n">
        <x:f>B12/122</x:f>
        <x:v>0.319672131147541</x:v>
      </x:c>
      <x:c r="E12" t="str">
        <x:v>Mavjud</x:v>
      </x:c>
      <x:c r="F12" t="n">
        <x:f>COUNTIF('Nazariya-Amaliyot'!$M$5:$M$126,E12)</x:f>
        <x:v>36</x:v>
      </x:c>
      <x:c r="G12" s="26" t="n">
        <x:f>F12/122</x:f>
        <x:v>0.29508196721311475</x:v>
      </x:c>
    </x:row>
    <x:row r="13">
      <x:c r="A13" t="str">
        <x:v>Simulyatsiya</x:v>
      </x:c>
      <x:c r="B13" t="n">
        <x:f>COUNTIF('Nazariya-Amaliyot'!$I$5:$I$126,A13)</x:f>
        <x:v>45</x:v>
      </x:c>
      <x:c r="C13" s="26" t="n">
        <x:f>B13/122</x:f>
        <x:v>0.36885245901639346</x:v>
      </x:c>
      <x:c r="E13" t="str">
        <x:v>Qisman mavjud</x:v>
      </x:c>
      <x:c r="F13" t="n">
        <x:f>COUNTIF('Nazariya-Amaliyot'!$M$5:$M$126,E13)</x:f>
        <x:v>32</x:v>
      </x:c>
      <x:c r="G13" s="26" t="n">
        <x:f>F13/122</x:f>
        <x:v>0.26229508196721313</x:v>
      </x:c>
    </x:row>
    <x:row r="14">
      <x:c r="A14" t="str">
        <x:v>Trenajyor</x:v>
      </x:c>
      <x:c r="B14" t="n">
        <x:f>COUNTIF('Nazariya-Amaliyot'!$I$5:$I$126,A14)</x:f>
        <x:v>16</x:v>
      </x:c>
      <x:c r="C14" s="26" t="n">
        <x:f>B14/122</x:f>
        <x:v>0.13114754098360656</x:v>
      </x:c>
      <x:c r="E14" t="str">
        <x:v>Yangi kerak</x:v>
      </x:c>
      <x:c r="F14" t="n">
        <x:f>COUNTIF('Nazariya-Amaliyot'!$M$5:$M$126,E14)</x:f>
        <x:v>54</x:v>
      </x:c>
      <x:c r="G14" s="26" t="n">
        <x:f>F14/122</x:f>
        <x:v>0.4426229508196721</x:v>
      </x:c>
    </x:row>
    <x:row r="15">
      <x:c r="A15" t="str">
        <x:v>Hisoblash</x:v>
      </x:c>
      <x:c r="B15" t="n">
        <x:f>COUNTIF('Nazariya-Amaliyot'!$I$5:$I$126,A15)</x:f>
        <x:v>11</x:v>
      </x:c>
      <x:c r="C15" s="26" t="n">
        <x:f>B15/122</x:f>
        <x:v>0.09016393442622951</x:v>
      </x:c>
    </x:row>
    <x:row r="16">
      <x:c r="A16" t="str">
        <x:v>Case</x:v>
      </x:c>
      <x:c r="B16" t="n">
        <x:f>COUNTIF('Nazariya-Amaliyot'!$I$5:$I$126,A16)</x:f>
        <x:v>11</x:v>
      </x:c>
      <x:c r="C16" s="26" t="n">
        <x:f>B16/122</x:f>
        <x:v>0.09016393442622951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665214d3e9b4b1a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30" hidden="0" customWidth="1"/>
    <x:col min="5" max="5" width="38" hidden="0" customWidth="1"/>
    <x:col min="6" max="6" width="42" hidden="0" customWidth="1"/>
  </x:cols>
  <x:sheetData>
    <x:row r="1">
      <x:c r="A1" s="4" t="str">
        <x:v>Mapping metodikasi va qo‘llash qoidalari</x:v>
      </x:c>
      <x:c r="B1" s="4"/>
      <x:c r="C1" s="4"/>
      <x:c r="D1" s="4"/>
      <x:c r="E1" s="4"/>
      <x:c r="F1" s="4"/>
    </x:row>
    <x:row r="3">
      <x:c r="A3" s="18" t="str">
        <x:v>Tushuncha</x:v>
      </x:c>
      <x:c r="B3" s="18" t="str">
        <x:v>Ta’rif</x:v>
      </x:c>
      <x:c r="C3" s="18" t="str">
        <x:v>Qachon qo‘llanadi</x:v>
      </x:c>
      <x:c r="D3" s="18" t="str">
        <x:v>Misol</x:v>
      </x:c>
      <x:c r="E3" s="18" t="str">
        <x:v>TT talabi</x:v>
      </x:c>
      <x:c r="F3" s="18" t="str">
        <x:v>Izoh</x:v>
      </x:c>
    </x:row>
    <x:row r="4">
      <x:c r="A4" s="24" t="str">
        <x:v>Lab</x:v>
      </x:c>
      <x:c r="B4" s="24" t="str">
        <x:v>Kimyoviy/fizik jarayonni tajriba ketma-ketligida bajarish</x:v>
      </x:c>
      <x:c r="C4" s="24" t="str">
        <x:v>Makrohodisa, reagent va jihoz mavjud bo‘lsa</x:v>
      </x:c>
      <x:c r="D4" s="24" t="str">
        <x:v>Zn(OH)2 olish</x:v>
      </x:c>
      <x:c r="E4" s="24" t="str">
        <x:v>action → observation → reason → equation</x:v>
      </x:c>
      <x:c r="F4" s="24" t="str">
        <x:v>Virtual laboratoriya state-machine bilan ishlashi kerak</x:v>
      </x:c>
    </x:row>
    <x:row r="5">
      <x:c r="A5" s="24" t="str">
        <x:v>Simulyatsiya</x:v>
      </x:c>
      <x:c r="B5" s="24" t="str">
        <x:v>Ko‘rinmaydigan yoki xavfli jarayonni interaktiv modelda ko‘rsatish</x:v>
      </x:c>
      <x:c r="C5" s="24" t="str">
        <x:v>Atom, ion, bog‘lanish, trend, muvozanat, sanoat jarayoni</x:v>
      </x:c>
      <x:c r="D5" s="24" t="str">
        <x:v>Elektron qavatlar</x:v>
      </x:c>
      <x:c r="E5" s="24" t="str">
        <x:v>interactionConfig bilan maxsus renderer</x:v>
      </x:c>
      <x:c r="F5" s="24" t="str">
        <x:v>Generic vizual maxsus activity o‘rnini bosmasin</x:v>
      </x:c>
    </x:row>
    <x:row r="6">
      <x:c r="A6" s="24" t="str">
        <x:v>Trenajyor</x:v>
      </x:c>
      <x:c r="B6" s="24" t="str">
        <x:v>Qoidani ko‘p misolda faol mashq qilish</x:v>
      </x:c>
      <x:c r="C6" s="24" t="str">
        <x:v>Formula, valentlik, tenglama, nomenklatura, ionli tenglama</x:v>
      </x:c>
      <x:c r="D6" s="24" t="str">
        <x:v>Tenglama balanslash</x:v>
      </x:c>
      <x:c r="E6" s="24" t="str">
        <x:v>savol → javob → feedback → explanation</x:v>
      </x:c>
      <x:c r="F6" s="24" t="str">
        <x:v>Hardcode javoblar taqiqlanadi</x:v>
      </x:c>
    </x:row>
    <x:row r="7">
      <x:c r="A7" s="24" t="str">
        <x:v>Hisoblash</x:v>
      </x:c>
      <x:c r="B7" s="24" t="str">
        <x:v>Sonli bog‘lanish va masalalarni yechish</x:v>
      </x:c>
      <x:c r="C7" s="24" t="str">
        <x:v>Mol, massa, hajm, konsentratsiya, Faradey qonuni</x:v>
      </x:c>
      <x:c r="D7" s="24" t="str">
        <x:v>m–n–M</x:v>
      </x:c>
      <x:c r="E7" s="24" t="str">
        <x:v>birliklar bilan bosqichli yechim</x:v>
      </x:c>
      <x:c r="F7" s="24" t="str">
        <x:v>Natija va yechim bosqichlari tekshiriladi</x:v>
      </x:c>
    </x:row>
    <x:row r="8">
      <x:c r="A8" s="24" t="str">
        <x:v>Case</x:v>
      </x:c>
      <x:c r="B8" s="24" t="str">
        <x:v>Bilimni real hayotiy/problemali vaziyatda qo‘llash</x:v>
      </x:c>
      <x:c r="C8" s="24" t="str">
        <x:v>Ekologiya, ishlab chiqarish, resurslar, materiallar</x:v>
      </x:c>
      <x:c r="D8" s="24" t="str">
        <x:v>Korroziyani kamaytirish</x:v>
      </x:c>
      <x:c r="E8" s="24" t="str">
        <x:v>muammo → dalil → tanlov → asoslash</x:v>
      </x:c>
      <x:c r="F8" s="24" t="str">
        <x:v>Transfer/evaluate darajasini tekshiradi</x:v>
      </x:c>
    </x:row>
    <x:row r="9">
      <x:c r="A9" s="24" t="str">
        <x:v>Mavjud</x:v>
      </x:c>
      <x:c r="B9" s="24" t="str">
        <x:v>Mos amaliy faoliyat katalogda mavjud</x:v>
      </x:c>
      <x:c r="C9" s="24" t="str">
        <x:v>To‘g‘ridan-to‘g‘ri mapping bo‘lsa</x:v>
      </x:c>
      <x:c r="D9" s="24" t="str">
        <x:v>8.16 ↔ 8.1/8.8/8.9/8.10/8.11</x:v>
      </x:c>
      <x:c r="E9" s="24" t="str"/>
      <x:c r="F9" s="24" t="str"/>
    </x:row>
    <x:row r="10">
      <x:c r="A10" s="24" t="str">
        <x:v>Qisman mavjud</x:v>
      </x:c>
      <x:c r="B10" s="24" t="str">
        <x:v>Mavjud activity mavzuning faqat bir qismini qoplaydi</x:v>
      </x:c>
      <x:c r="C10" s="24" t="str">
        <x:v>Qo‘shimcha activity kerak bo‘lsa</x:v>
      </x:c>
      <x:c r="D10" s="24" t="str">
        <x:v>9.18 ↔ 9.2 + suv qattiqligi modeli</x:v>
      </x:c>
      <x:c r="E10" s="24" t="str"/>
      <x:c r="F10" s="24" t="str"/>
    </x:row>
    <x:row r="11">
      <x:c r="A11" s="24" t="str">
        <x:v>Yangi kerak</x:v>
      </x:c>
      <x:c r="B11" s="24" t="str">
        <x:v>Mos activity katalogda yo‘q</x:v>
      </x:c>
      <x:c r="C11" s="24" t="str">
        <x:v>Yangi activity ishlab chiqish zarur</x:v>
      </x:c>
      <x:c r="D11" s="24" t="str">
        <x:v>11.19 redoks yarim reaksiya trenajyori</x:v>
      </x:c>
      <x:c r="E11" s="24" t="str"/>
      <x:c r="F11" s="24" t="str"/>
    </x:row>
    <x:row r="12">
      <x:c r="A12" s="24" t="str">
        <x:v>Many-to-many</x:v>
      </x:c>
      <x:c r="B12" s="24" t="str">
        <x:v>Bir nazariya ko‘p amaliyotga, bir amaliyot ko‘p nazariyaga ulanadi</x:v>
      </x:c>
      <x:c r="C12" s="24" t="str">
        <x:v>Integratsion mavzularda</x:v>
      </x:c>
      <x:c r="D12" s="24" t="str">
        <x:v>9.05 ↔ bir nechta ion almashinish tajribalari</x:v>
      </x:c>
      <x:c r="E12" s="24" t="str">
        <x:v>conceptIds[] + practiceLinks[]</x:v>
      </x:c>
      <x:c r="F12" s="24" t="str">
        <x:v>1:1 mapping majburiy emas</x:v>
      </x:c>
    </x:row>
  </x:sheetData>
  <x:mergeCells>
    <x:mergeCell ref="A1:F1"/>
  </x:mergeCells>
  <x:pageMargins left="0.7" right="0.7" top="0.75" bottom="0.75" header="0.3" footer="0.3"/>
</x:worksheet>
</file>